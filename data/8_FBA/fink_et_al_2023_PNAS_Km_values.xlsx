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finkadmin/polybox/PCAGrowthCurves/final/PNAS_revised_Nov12/"/>
    </mc:Choice>
  </mc:AlternateContent>
  <xr:revisionPtr revIDLastSave="0" documentId="13_ncr:1_{2A178B78-FF0C-7549-853B-E6FF11A7D6E3}" xr6:coauthVersionLast="43" xr6:coauthVersionMax="46" xr10:uidLastSave="{00000000-0000-0000-0000-000000000000}"/>
  <bookViews>
    <workbookView xWindow="0" yWindow="500" windowWidth="25600" windowHeight="15540" xr2:uid="{00000000-000D-0000-FFFF-FFFF00000000}"/>
  </bookViews>
  <sheets>
    <sheet name="Database" sheetId="1" r:id="rId1"/>
    <sheet name="compare media CN ratio" sheetId="7" r:id="rId2"/>
    <sheet name="compare PreAcclimation" sheetId="6"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20" i="6" l="1"/>
  <c r="K18" i="6"/>
  <c r="K16" i="6"/>
  <c r="K14" i="6"/>
  <c r="K12" i="6"/>
  <c r="K10" i="6"/>
  <c r="K8" i="6"/>
  <c r="K6" i="6"/>
  <c r="K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N4" authorId="0" shapeId="0" xr:uid="{D24B3823-B66E-A143-BD37-EF6C58F3BDB1}">
      <text>
        <r>
          <rPr>
            <b/>
            <sz val="10"/>
            <color rgb="FF000000"/>
            <rFont val="Tahoma"/>
            <family val="2"/>
          </rPr>
          <t>Microsoft Office User:</t>
        </r>
        <r>
          <rPr>
            <sz val="10"/>
            <color rgb="FF000000"/>
            <rFont val="Tahoma"/>
            <family val="2"/>
          </rPr>
          <t xml:space="preserve">
</t>
        </r>
      </text>
    </comment>
  </commentList>
</comments>
</file>

<file path=xl/sharedStrings.xml><?xml version="1.0" encoding="utf-8"?>
<sst xmlns="http://schemas.openxmlformats.org/spreadsheetml/2006/main" count="1692" uniqueCount="495">
  <si>
    <t>Limiting Nutrient</t>
  </si>
  <si>
    <t>Species</t>
  </si>
  <si>
    <t>Strain</t>
  </si>
  <si>
    <t>Autotroph</t>
  </si>
  <si>
    <t>Eukaryote</t>
  </si>
  <si>
    <t>experiment type</t>
  </si>
  <si>
    <t>experiment temp.</t>
  </si>
  <si>
    <t>media notes</t>
  </si>
  <si>
    <t>K original unit</t>
  </si>
  <si>
    <t>K common unit (uM)</t>
  </si>
  <si>
    <t>K error</t>
  </si>
  <si>
    <t>gmax (per hour)</t>
  </si>
  <si>
    <t>Comment</t>
  </si>
  <si>
    <t>Citation</t>
  </si>
  <si>
    <t>Year of publication</t>
  </si>
  <si>
    <t>merged from Edwards2015 database</t>
  </si>
  <si>
    <t>glucose</t>
  </si>
  <si>
    <t>Escherichia coli</t>
  </si>
  <si>
    <t>K12</t>
  </si>
  <si>
    <t>batch</t>
  </si>
  <si>
    <t>minimal media</t>
  </si>
  <si>
    <t>7160 ug/L</t>
  </si>
  <si>
    <t>OUMI7020</t>
  </si>
  <si>
    <t>8460 ug/L</t>
  </si>
  <si>
    <t>in the original publication the authors provide two values for K, corresponding to 'two different uptake systems'. here we use the lower one.</t>
  </si>
  <si>
    <t>silicate</t>
  </si>
  <si>
    <t>Stephanodiscus minutus</t>
  </si>
  <si>
    <t>semi continuous</t>
  </si>
  <si>
    <t>WC media</t>
  </si>
  <si>
    <t>0.12 uM</t>
  </si>
  <si>
    <t>0.31 uM</t>
  </si>
  <si>
    <t>phosphate</t>
  </si>
  <si>
    <t>Oscillatoria agardhii</t>
  </si>
  <si>
    <t>chemostat</t>
  </si>
  <si>
    <t>Z8' media</t>
  </si>
  <si>
    <t>Temperature range 15-16</t>
  </si>
  <si>
    <t>0.006 uM</t>
  </si>
  <si>
    <t>Temperature range 20-21</t>
  </si>
  <si>
    <t>Temperature range 25-26</t>
  </si>
  <si>
    <t>B/r CM6</t>
  </si>
  <si>
    <t>"L" broth with ommitted glucose</t>
  </si>
  <si>
    <t>540 ug/L</t>
  </si>
  <si>
    <t xml:space="preserve">Bavoil., P., H. Nikaido, and K. von Meyenburg. Pleiotrophic transport mutants of Eschericial coli lack porin, a major membrane protein. Mol. Gen. Genet. 158: 23-33 (1977). </t>
  </si>
  <si>
    <t>ammonium</t>
  </si>
  <si>
    <t>NCM 3722</t>
  </si>
  <si>
    <t>M9 with glucose</t>
  </si>
  <si>
    <t>2.6 uM</t>
  </si>
  <si>
    <t>0.4uM</t>
  </si>
  <si>
    <t>Bren, A., Hart, Y., Dekel, E., Koster, D. &amp; Alon, U. The last generation of bacterial growth in limiting nutrient. BMC Syst. Biol. 7, (2013).</t>
  </si>
  <si>
    <t>M9 with ammonium</t>
  </si>
  <si>
    <t>5 uM</t>
  </si>
  <si>
    <t>1uM</t>
  </si>
  <si>
    <t>maximum growth rate gmax was inferred from Figure 1d and is approximate to ca. 0,1 h^-1</t>
  </si>
  <si>
    <t>Selenastrum capricornutum</t>
  </si>
  <si>
    <t>0.018 uM</t>
  </si>
  <si>
    <t>Brown, E.J &amp; Button, D.K., Phosphate limited growth kinetics of selenastrum capricornutum J. Phycol 1979 305-311 (chlorophyceaea)</t>
  </si>
  <si>
    <t>Torulopsis utilis</t>
  </si>
  <si>
    <t>minimal inorganic media</t>
  </si>
  <si>
    <t>49 uM</t>
  </si>
  <si>
    <t>Button, D. K. &amp; Garver, J. C. Continuous culture of Torulopsis utilis: a kinetic study of oxygen limited growth. J. Gen. Microbiol. 45, 195–204 (1966).</t>
  </si>
  <si>
    <t>ML 30</t>
  </si>
  <si>
    <t>33 ug/L</t>
  </si>
  <si>
    <t>Button, D. K. 1985. Kinetics of nutrient-limited transport and microbial growth. Microbiol. Rev. 49:270–297.</t>
  </si>
  <si>
    <t>thiamine</t>
  </si>
  <si>
    <t>Cryptococcus albidus</t>
  </si>
  <si>
    <t>irradiated minimal media</t>
  </si>
  <si>
    <t>4.7e-13 M</t>
  </si>
  <si>
    <t>Button, D. K. Thiamine limited steady state growth of the yeast Cryptococcus albidus. J. Gen. Microbiol. 58, 15–21 (1969).</t>
  </si>
  <si>
    <t>Rhodotorula rubra</t>
  </si>
  <si>
    <t>0.01 uM</t>
  </si>
  <si>
    <t>Button, D.K., Dunker, S.S., Morse, M.L. Continuous culture of Rhodotorula rubra: Kinetics of phosphate-arsenate uptake, inhibition, and phosphate-limited growth.  J. Bacteriology 1973, 599-611</t>
  </si>
  <si>
    <t>nitrate</t>
  </si>
  <si>
    <t>Isochrysis galbana</t>
  </si>
  <si>
    <t>0.3 uM</t>
  </si>
  <si>
    <t>can't track to original citation</t>
  </si>
  <si>
    <t>Caperon, J. 1968. Population growth response of Isochrysis galbana to nitrate variation at limiting concentrations. Ecology 49:866-872.</t>
  </si>
  <si>
    <t>magnesium</t>
  </si>
  <si>
    <t>Klebsiella aerogenes</t>
  </si>
  <si>
    <t>NCTC 418</t>
  </si>
  <si>
    <t>23 uM</t>
  </si>
  <si>
    <t>﻿Dean, A.C.R. and Rogers, P.L. (1967) The cell size and macromolecular composition of Aerobacter aerogenes in various systems of continuous culture. Biochim. Biophys. Acta 148, 267-279.</t>
  </si>
  <si>
    <t>potassium</t>
  </si>
  <si>
    <t>10 uM</t>
  </si>
  <si>
    <t>sulfate</t>
  </si>
  <si>
    <t>2.8 uM</t>
  </si>
  <si>
    <t>O-124</t>
  </si>
  <si>
    <t>2400 ug/L</t>
  </si>
  <si>
    <t>Degermendzhy, A. G., V. V. Adamovich, and V. A. Adamovich. 1993. A new experimental approach to the search for chemical density factors in the regulation of monoculture growth. J. Gen. Microbiol. 139:2027–2031.</t>
  </si>
  <si>
    <t>vitamin B12</t>
  </si>
  <si>
    <t>Monochrysis lutheri</t>
  </si>
  <si>
    <t>0.0000001 uM</t>
  </si>
  <si>
    <t>Droop, M. R. Some thoughts on nutrient limitation in algae. J. Phycol 9, 264–272 (1974).</t>
  </si>
  <si>
    <t>lactose</t>
  </si>
  <si>
    <t>59 uM</t>
  </si>
  <si>
    <t>﻿Dykhuizen, D. and Davies, M. (1980) An experimental model: bacterial specialists and generalists competing in chemostats. Ecology 61, 1213-1227.</t>
  </si>
  <si>
    <t>59.5 uM</t>
  </si>
  <si>
    <t>34 uM</t>
  </si>
  <si>
    <t>maltose</t>
  </si>
  <si>
    <t>RV lac -</t>
  </si>
  <si>
    <t>25 uM</t>
  </si>
  <si>
    <t>0.4 ug /mL</t>
  </si>
  <si>
    <t>Guthke, R. Growth of Escherichia Coli in Phosphate Limited Cultures: Measurements and Modelling (1979) Biotechnology Letters 1: 377-382</t>
  </si>
  <si>
    <t>glycerol</t>
  </si>
  <si>
    <t>Enterobacter cloacae</t>
  </si>
  <si>
    <t>NCTC 819</t>
  </si>
  <si>
    <t>135 uM</t>
  </si>
  <si>
    <t>Herbert, D., Elsworth, R. &amp; Telling, R. C. The Continuous Culture of Bacteria; a Theoretical and Experimental Study. J. Gen. Microbiol. 14, 601–622 (1956).</t>
  </si>
  <si>
    <t>serial batch</t>
  </si>
  <si>
    <t>8000 ug/L</t>
  </si>
  <si>
    <t>Jannasch notes that this C:N ratio ascertains C growth limitation</t>
  </si>
  <si>
    <t>Jannasch, H. W. 1968. Growth characteristics of heterotrophic bacteria in seawater. J. Bacteriol. 95:722–723.</t>
  </si>
  <si>
    <t xml:space="preserve">Achromobacter sp. </t>
  </si>
  <si>
    <t>supplemented seawater</t>
  </si>
  <si>
    <t>3x10-5 M</t>
  </si>
  <si>
    <t>Jannasch, H. W. Growth characteristics of heterotrophic bacteria in seawater. J. Bacteriol. 95, 722–723 (1968).</t>
  </si>
  <si>
    <t>Vibrio sp.</t>
  </si>
  <si>
    <t>5.5x10-5 M</t>
  </si>
  <si>
    <t>12.5% maximal</t>
  </si>
  <si>
    <t>Pseudomonas sp.</t>
  </si>
  <si>
    <t>10.5 x10-5 M</t>
  </si>
  <si>
    <t>12x10-5 M</t>
  </si>
  <si>
    <t>post acclimation</t>
  </si>
  <si>
    <t>18x10-5  M</t>
  </si>
  <si>
    <t>lactate</t>
  </si>
  <si>
    <t>1x10-5 M</t>
  </si>
  <si>
    <t>0.8 x 10-5 M</t>
  </si>
  <si>
    <t>Spirillum sp.</t>
  </si>
  <si>
    <t>3 x 10-5 M</t>
  </si>
  <si>
    <t>9 x 10-5 M</t>
  </si>
  <si>
    <t>5x10-5 M</t>
  </si>
  <si>
    <t>9.5 x 10-5 M</t>
  </si>
  <si>
    <t>12 x 10-5 M</t>
  </si>
  <si>
    <t>15 x 10-5 M</t>
  </si>
  <si>
    <t>Streptococcus sanguis</t>
  </si>
  <si>
    <t xml:space="preserve"> semi-defined media; contains enzymes</t>
  </si>
  <si>
    <t>111 uM</t>
  </si>
  <si>
    <t>Kemp, C. W., Robrish, S. A., Curtis, M. A., Sharer, S. A. &amp; Bowen, W. H. Application of a competition model to the growth of Streptococcus mutans and Streptococcus sanguis in binary continuous culture. Appl. Environ. Microbiol. 45, 1277–1282 (1983).</t>
  </si>
  <si>
    <t>327 uM</t>
  </si>
  <si>
    <t>Streptococcus mutans</t>
  </si>
  <si>
    <t xml:space="preserve"> 6715-5</t>
  </si>
  <si>
    <t>anaerobic chemostat</t>
  </si>
  <si>
    <t>1583 uM</t>
  </si>
  <si>
    <t>6715-5</t>
  </si>
  <si>
    <t>anerobic batch</t>
  </si>
  <si>
    <t>2172 uM</t>
  </si>
  <si>
    <t>ML 308</t>
  </si>
  <si>
    <t>0.597 uM</t>
  </si>
  <si>
    <t>Koch, A. L., and C. H. Wang. 1982. How close to the theoretical diffusion limit do bacterial uptake systems function. Arch. Microbiol. 131:36–42.</t>
  </si>
  <si>
    <t>13.0 uM</t>
  </si>
  <si>
    <t>34 ug/L</t>
  </si>
  <si>
    <t xml:space="preserve">Kovarová, K., A. J. B. Zehnder, and T. Egli. 1996. Temperature-dependent growth kinetics of Escherichia coli ML 30 in glucose-limited continuous culture. J. Bacteriol. 178:4530–4539. </t>
  </si>
  <si>
    <t>basal medium</t>
  </si>
  <si>
    <t>0.066 uM</t>
  </si>
  <si>
    <t>max growth rate is approximate</t>
  </si>
  <si>
    <t>Kuenen, J. G., Boonstra, J., Schröder, H. G. J. &amp; Veldkamp, H. Competition for inorganic substrates among chemoorganotrophic and chemolithotrophic bacteria. Microb. Ecol. 3, 119–130 (1977).</t>
  </si>
  <si>
    <t>ML 30G</t>
  </si>
  <si>
    <t>4500 uM</t>
  </si>
  <si>
    <t>17.35 uM</t>
  </si>
  <si>
    <t>Synechococcus nageli</t>
  </si>
  <si>
    <t>PAAP media</t>
  </si>
  <si>
    <t>0.008 uM</t>
  </si>
  <si>
    <t>Lang, D. S. &amp; Brown, E. J. Phosphorus-Limited Growth of a Green Alga and a Blue-Green Alga. Appl. Environ. Microbiol. 42, 1002–1009 (1981).</t>
  </si>
  <si>
    <t>Scenedesmus quadracauda</t>
  </si>
  <si>
    <t>0.13 uM</t>
  </si>
  <si>
    <t>Marine coryneform baterium</t>
  </si>
  <si>
    <t>mineral media with 60mg/L ammonium</t>
  </si>
  <si>
    <t>0.48 mg/L</t>
  </si>
  <si>
    <t>Law, A. T. &amp; Button, D. K. Multiple carbon source limited growth kinetics of a marine Coryneform bacterium. J. Bacteriol. 129, 115–123 (1977).</t>
  </si>
  <si>
    <t>fructose</t>
  </si>
  <si>
    <t>defined inorganic media</t>
  </si>
  <si>
    <t>125 ug/L</t>
  </si>
  <si>
    <t>Lendenmann, U. &amp; Egli, T. Kinetic models for the growth of Escherichia coil with mixtures of sugars under carbon-limited conditions. Biotechnol. Bioeng. 59, 99–107 (1998).</t>
  </si>
  <si>
    <t>arabinose</t>
  </si>
  <si>
    <t>sp.</t>
  </si>
  <si>
    <t>147 ug/L</t>
  </si>
  <si>
    <t>Lendenmann, U. Growth kinetics of Escherichia coli with mixtures of sugars (1994). PhD Thesis, ETH Zurich</t>
  </si>
  <si>
    <t>A324</t>
  </si>
  <si>
    <t>defined media with casamino acids</t>
  </si>
  <si>
    <t>2 uM</t>
  </si>
  <si>
    <t>Lusk, J. E., Williams, R. J. &amp; Kennedy, E. P. Magnesium and the growth of Escherichia coli. J. Biol. Chem. 243, 2618–2624 (1968).</t>
  </si>
  <si>
    <t>1.03 uM</t>
  </si>
  <si>
    <t>Mechling, J.A., Kilham, S. S. Temperature effects on silicon limited growth of the lake michigan diatom Stephanodiscus Minutus (Baccilariophyceae). J. Phycol 18, 199–205 (1982).</t>
  </si>
  <si>
    <t>0.88 uM</t>
  </si>
  <si>
    <t>0.68 uM</t>
  </si>
  <si>
    <t>1.24 uM</t>
  </si>
  <si>
    <t>H</t>
  </si>
  <si>
    <t>4000 ug/L</t>
  </si>
  <si>
    <t>Monod, J. Recherches sur la croissance des cultures baceriennes. Herman et Cie, Paris France (1942)</t>
  </si>
  <si>
    <t>tryptophan</t>
  </si>
  <si>
    <t>B/1 trp auxotroph</t>
  </si>
  <si>
    <t>Friedlein medium</t>
  </si>
  <si>
    <t>0.005 uM</t>
  </si>
  <si>
    <t>Novick, A. &amp; Szilard, L. Experiments With the Chemostat on Spontaneous Mutation of Bacteria. Proc. Natl. Acad. Sci 36, 708–719 (1950).</t>
  </si>
  <si>
    <t>TS-701 tryp auxotroph</t>
  </si>
  <si>
    <t>0.034 uM</t>
  </si>
  <si>
    <t>Thalassiosira nordensioreldii</t>
  </si>
  <si>
    <t>enriched seawater</t>
  </si>
  <si>
    <t>0.09 uM</t>
  </si>
  <si>
    <t>Paasche, E. Growth of the plankton diatom Thalassiosira nordenskioeldii Cleve at low silicate concentrations. J. Exp. Mari. Biol 19:173-83 (1975)</t>
  </si>
  <si>
    <t>0.02 uM</t>
  </si>
  <si>
    <t>Saccharomyces cerevisiae</t>
  </si>
  <si>
    <t>EL1</t>
  </si>
  <si>
    <t>Maltose Peptone Yeast Extract Broth</t>
  </si>
  <si>
    <t>2.06 g/L</t>
  </si>
  <si>
    <t xml:space="preserve">K was reported as a range of values with minimum 0.8 ug/L and maximum 5.3 ug/L , depending on the absolute concentration of mannose supplied; see original paper. Here we report the geometric mean value. </t>
  </si>
  <si>
    <t>Papagianni, M., Boonpooh, Y., Mattey, M. &amp; Kristiansen, B. Substrate inhibition kinetics of Saccharomyces cerevisiae in fed-batch cultures operated at constant glucose and maltose concentration levels. J. Ind. Microbiol. Biotechnol. 34, 301–309 (2007).</t>
  </si>
  <si>
    <t>Peptone Yeast Extract Broth</t>
  </si>
  <si>
    <t>0.45 g/L</t>
  </si>
  <si>
    <t>4.73 g/L</t>
  </si>
  <si>
    <t>K was reported as a range of value with minimum 0.8 g/L and maximum 28 g/L, depending on the absolute concentration of mannose supplied; see original paper. Here we report the geometric mean value.</t>
  </si>
  <si>
    <t>arginine</t>
  </si>
  <si>
    <t>Neurospora crassa</t>
  </si>
  <si>
    <t>"arginine auxotroph"</t>
  </si>
  <si>
    <t>radial growth rate</t>
  </si>
  <si>
    <t>Cannot track back to original source</t>
  </si>
  <si>
    <t>Pirt, S.J. (1975) Principles of Microbe and Cell Cultivation. Blackwell, London</t>
  </si>
  <si>
    <t>CBS8066</t>
  </si>
  <si>
    <t>minimal media; low absolute glucose</t>
  </si>
  <si>
    <t>0.11mM</t>
  </si>
  <si>
    <t>dependent on absolute concentration of glucose</t>
  </si>
  <si>
    <t>Postma, E., Alexander Scheffers, W. &amp; Van Dijken, J. P. Kinetics of growth and glucose transport in glucose‐limited chemostat cultures of Saccharomyces cerevisiae CBS 8066. Yeast 5, 159–165 (1989).</t>
  </si>
  <si>
    <t>minimal media; high absolute glucose</t>
  </si>
  <si>
    <t>0.39mM</t>
  </si>
  <si>
    <t>0.012 uM</t>
  </si>
  <si>
    <t>Robertson, B. R. &amp; Button, D. K. Phosphate-limited continuous culture of Rhodotorula rubra: kinetics of transport, leakage and growth. J. Bacteriol. 138, 884–895 (1979).</t>
  </si>
  <si>
    <t>Thalassiosira pseudonana</t>
  </si>
  <si>
    <t>AQUIL Media</t>
  </si>
  <si>
    <t>Paasche, E. Silicon and the ecology of marine plankton diatoms. I. Thalassiosira pseudonana (Cyclotella nana) grown in a chemostat with silicate as limiting nutrient. Mar. Biol. 19, 117–126 (1973).</t>
  </si>
  <si>
    <t>87300 ug/L</t>
  </si>
  <si>
    <t>K was reported as a range of values dependent on conditions with minimum 77000 ug/L and maximum 99000 ug/L; see original paper. Here we report the geometric mean value.</t>
  </si>
  <si>
    <t xml:space="preserve">Schulze, K. L., and R. S. Lipe. 1964. Relationship between substrate con- centration, growth rate, and respiration rate of Escherichia coli in continuous culture. Arch. Microbiol. 48:1–20. </t>
  </si>
  <si>
    <t>53 ug/L</t>
  </si>
  <si>
    <t>Senn, H., U. Lendenmann, M. Snozzi, G. Hamer, and T. Egli. 1994. The growth of Escherichia coli in glucose-limited chemostat cultures: a reexamination of the kinetics. Biochim. Biophys. Acta 1201:424–436.</t>
  </si>
  <si>
    <t>72 ug/L</t>
  </si>
  <si>
    <t>60 uM</t>
  </si>
  <si>
    <t>Shehata, T. E. &amp; Marr, A. G. Effect of nutrient concentration on the growth of Escherichia coli. J. Bacteriol. 107, 210–216 (1971).</t>
  </si>
  <si>
    <t>68 ug/L</t>
  </si>
  <si>
    <t>Shehata, T. E., and A. G. Marr. 1971. Effect of nutrient concentration on the growth of Escherichia coli. J. Bacteriol. 107:210–216.</t>
  </si>
  <si>
    <t>Candida utilis</t>
  </si>
  <si>
    <t>NCYC 321</t>
  </si>
  <si>
    <t>50 uM</t>
  </si>
  <si>
    <t>﻿Sinclair, C.G. and Ryder, D.N. (1975) Models for the ﻿continuous culture of microorganisms under both oxygen and carbon limiting conditions. Biotech. Bioeng. 17, 375-398.</t>
  </si>
  <si>
    <t>oxygen</t>
  </si>
  <si>
    <t>VIN13</t>
  </si>
  <si>
    <t>minimal media (Verduyn)</t>
  </si>
  <si>
    <t>0.12mM</t>
  </si>
  <si>
    <t>0.009 (SEM)</t>
  </si>
  <si>
    <t>Snoep, J. L., Mrwebi, M., Schuurmans, J. M., Rohwer, J. M. &amp; Teixeira de Mattor, M. J. T. Control of specific growth rate in Saccharomyces cerevisiae. Microbiology 155, 1699–1707 (2009).</t>
  </si>
  <si>
    <t>Corethron criophilum</t>
  </si>
  <si>
    <t>spp.</t>
  </si>
  <si>
    <t>batch conducted in field</t>
  </si>
  <si>
    <t>oligotrophic seawater</t>
  </si>
  <si>
    <t>Sommer, U. 1986. “Nitrate- and Silicate-Competition among Antarctic Phytoplankton.” Marine Biology 91 (3): 345–51.</t>
  </si>
  <si>
    <t>Nitszchia kerguelensis</t>
  </si>
  <si>
    <t>0.8 uM</t>
  </si>
  <si>
    <t>Thalassiosira subtilis</t>
  </si>
  <si>
    <t>0.9 uM</t>
  </si>
  <si>
    <t>Chaetoceros neglectum</t>
  </si>
  <si>
    <t>1.4 uM</t>
  </si>
  <si>
    <t>Nitzchia cylindrus</t>
  </si>
  <si>
    <t>4.2 uM</t>
  </si>
  <si>
    <t>60.1 uM</t>
  </si>
  <si>
    <t>88.7 uM</t>
  </si>
  <si>
    <t>5.7 uM</t>
  </si>
  <si>
    <t>21.7 uM</t>
  </si>
  <si>
    <t>8.4 uM</t>
  </si>
  <si>
    <t>continuous culture</t>
  </si>
  <si>
    <t>120 nM</t>
  </si>
  <si>
    <t>nanomolar oxygen measurements</t>
  </si>
  <si>
    <t>Stolper, D. A., Revsbech, N. P., &amp; Canfield, D. E. (2010). Aerobic growth at nanomolar oxygen concentrations. Proceedings of the National Academy of Sciences of the United States of America, 107(44), 18755–18760. https://doi.org/10.1073/PNAS.1013435107/SUPPL_FILE/PNAS.1013435107_SI.PDF</t>
  </si>
  <si>
    <t>Dunaliella sp.</t>
  </si>
  <si>
    <t>enriched 75% seawater</t>
  </si>
  <si>
    <t>0.28 uM</t>
  </si>
  <si>
    <t>Thomas, W. H. &amp; Dodson, A. N. Effect of interactions between temperature and nitrate supply on the cell-division rates of two marine phytoflagellates. Mar. Biol. 24, 213–217 (1974).</t>
  </si>
  <si>
    <t>0.95 uM</t>
  </si>
  <si>
    <t>Gymnodinium splendens</t>
  </si>
  <si>
    <t>1.02 uM</t>
  </si>
  <si>
    <t>6.55 uM</t>
  </si>
  <si>
    <t>Fragilaria</t>
  </si>
  <si>
    <t>freshwater minimal medium</t>
  </si>
  <si>
    <t>1.5uM</t>
  </si>
  <si>
    <t>Tilman, D. Tests of Resource Competition Theory Using Four Species of Lake Michigan Algae. Ecology 62, 802–815 (1981).</t>
  </si>
  <si>
    <t>Asterionella formosa</t>
  </si>
  <si>
    <t>2.2uM</t>
  </si>
  <si>
    <t>Synedra ulna</t>
  </si>
  <si>
    <t>19.7uM</t>
  </si>
  <si>
    <t>Tabellaria</t>
  </si>
  <si>
    <t>19.0uM</t>
  </si>
  <si>
    <t>0.011 uM</t>
  </si>
  <si>
    <t>0.003 uM</t>
  </si>
  <si>
    <t>defined inorganic media with vitamins</t>
  </si>
  <si>
    <t>2.2 uM</t>
  </si>
  <si>
    <t>Tilman, D., Mattson, M., and Langer, S. Competition and nutrient kinetics along a temperature gradient: An experimental test of a mechanistic approach to niche theory. Limnol. Oceanogr. 26(6), 1981: 1020-1033</t>
  </si>
  <si>
    <t>1.9 uM</t>
  </si>
  <si>
    <t>2.1 uM</t>
  </si>
  <si>
    <t>4 uM</t>
  </si>
  <si>
    <t>11 uM</t>
  </si>
  <si>
    <t>4.5 um</t>
  </si>
  <si>
    <t>6.11 uM</t>
  </si>
  <si>
    <t>4.9 uM</t>
  </si>
  <si>
    <t>LTEE ancestor</t>
  </si>
  <si>
    <t>0.0727 mg/L</t>
  </si>
  <si>
    <t>ancestral wild-type of the Long Term Evolution Experiment, reported with biomass yield of Y = 2,635*10^6 cfu/ug</t>
  </si>
  <si>
    <t>Vasi, F., Travisano, M. &amp; Lenski, R.E. , Long-Term Experimental Evolution in Escherichia Coli. II. Changes in Life-History Traits During Adaptation to a Seasonal Environment,” Am Nat 144, no. 3: 432–56 (1994)</t>
  </si>
  <si>
    <t>LTEE evolved</t>
  </si>
  <si>
    <t>0.0880 mg/L</t>
  </si>
  <si>
    <t>average of evolved strains from the 12 lines  of the Long Term Evolution Experiment after 2000 generations, reported with biomass yield of Y = 1,838*10^6 cfu/ug</t>
  </si>
  <si>
    <t>B/r Thy-</t>
  </si>
  <si>
    <t>180 ug/L</t>
  </si>
  <si>
    <t xml:space="preserve">von Meyenburg, K. 1971. Transport-limited growth rates in a mutant of Escherichia coli. J. Bacteriol. 107:878–888. </t>
  </si>
  <si>
    <t>1.2 uM</t>
  </si>
  <si>
    <t>Zevenboom, W., Mur, L. R. &amp; Ku, S. Influence of growth rate on short term and steady state nitrate uptake by nitrate - limited  oscilatoria agardhii Cyano-. 6, 209–212 (1979).</t>
  </si>
  <si>
    <t>FY4/5</t>
  </si>
  <si>
    <t>batch solid culture</t>
  </si>
  <si>
    <t>0.202 mM</t>
  </si>
  <si>
    <t>tried many growth rate models; here reporting only for the normal Monod model</t>
  </si>
  <si>
    <t>Ziv, N., Siegal, M. L. &amp; Gresham, D. Genetic and nongenetic determinants of cell growth variation assessed by high-throughput microscopy. Mol. Biol. Evol. 30, 2568–2578 (2013).</t>
  </si>
  <si>
    <t>BC248</t>
  </si>
  <si>
    <t>0.115 mM</t>
  </si>
  <si>
    <t>BC241</t>
  </si>
  <si>
    <t>0.189 mm</t>
  </si>
  <si>
    <t>BC252</t>
  </si>
  <si>
    <t>0.143 mM</t>
  </si>
  <si>
    <t>strain 211</t>
  </si>
  <si>
    <t>minimal medium</t>
  </si>
  <si>
    <t>0.146 g/L</t>
  </si>
  <si>
    <t>O’Neil GDG, Lyberatos G Dynamic model development for a continuous culture of Saccharomyces cerevisiae. Biotechnol Bioeng 36:437–445 (1990)</t>
  </si>
  <si>
    <t>0.099 g/L</t>
  </si>
  <si>
    <t>Verduyn C, Postma E, Scheffers WA, van Dijken JP Physiology of Saccharomyces cerevisiae in anaerobic glucoselimited chemostat cultures.  J Gen Microbiol 136:395–403 (1990)</t>
  </si>
  <si>
    <t>Saccharomyces carlsbergensis</t>
  </si>
  <si>
    <t>LAM 1068</t>
  </si>
  <si>
    <t>0.021 g/L</t>
  </si>
  <si>
    <t>Toda K, Yabe I, Yamagata T Kinetics of biphasic growth of yeast in continuous and fed-batch cultures. Biotechnol Bioeng 22:1805–1827 (1980)</t>
  </si>
  <si>
    <t>Cochlodinium polykrikoides</t>
  </si>
  <si>
    <t>Gobler, C. J., A. Burson, F. Koch, Y. Z. Tang, and M. R. Mulholland. 2012. The role of nitrogenous nutrients in the occurrence of harmful algal blooms caused by Cochlodinium polykrikoides in New York estuaries (USA). Harmful Algae 17:64-74.</t>
  </si>
  <si>
    <t>Alexandrium catenella</t>
  </si>
  <si>
    <t>Martinez, M. E., J. M. Jimenez, and F. El Yousfi. 1999. Influence of phosphorus concentration and temperature on growth and phosphorus uptake by the microalga Scenedesmus obliquus. Bioresource Technology 67:233-240.</t>
  </si>
  <si>
    <t>Chaetoceros curvisetum</t>
  </si>
  <si>
    <t>Reay, D. S., D. B. Nedwell, J. Priddle, and J. C. Ellis-Evans. 1999. Temperature dependence of inorganic nitrogen uptake: Reduced affinity for nitrate at suboptimal temperatures in both algae and bacteria. Applied and Environmental Microbiology 65:2577-2584.</t>
  </si>
  <si>
    <t>Chaetoceros sp.</t>
  </si>
  <si>
    <t>CCAP 1010/10</t>
  </si>
  <si>
    <t>Dunaliella tertiolecta</t>
  </si>
  <si>
    <t>CCAP 19/6B</t>
  </si>
  <si>
    <t>Reynolds, J. H., E. J. Middlebrooks, D. B. Porcella, and W. J. Grenney. 1975. Effects of temperature on growth constans of Selenastrum capricornutum. Journal Water Pollution Control Federation 47:2420-2436.</t>
  </si>
  <si>
    <t>Nielsen, E. S. 1978. Growth of plankton algae as a function of N-concentration, measured by means of a batch technique. Marine Biology 46:185-189.</t>
  </si>
  <si>
    <t>Pelagomonas calceolata</t>
  </si>
  <si>
    <t>CCMP 1756</t>
  </si>
  <si>
    <t>Timmermans, K. R., B. van der Wagt, M. J. W. Veldhuis, A. Maatman, and H. J. W. de Baar. 2005. Physiological responses of three species of marine pico-phytoplankton to ammonium, phosphate, iron and light limitation. Journal of Sea Research 53:109-120.</t>
  </si>
  <si>
    <t>Prasinomonas capsulatus</t>
  </si>
  <si>
    <t>CCMP 1617</t>
  </si>
  <si>
    <t>Synechococcus sp.</t>
  </si>
  <si>
    <t>CCMP 893</t>
  </si>
  <si>
    <t>Planktothrix agardhii</t>
  </si>
  <si>
    <t>Ahlgren, G. 1977. Growth of Oscillatoria agardhii in chemostat culture. 1. Nitrogen and phosphorus requirements. Oikos 29:209-224.</t>
  </si>
  <si>
    <t xml:space="preserve">Ahlgren, G. 1978. Growth of Oscillatoria agardhii in chemostat culture. 2. Dependence of growth constants on temperature. Mitt. Internat. Verein. Limnol. 21:88-102. </t>
  </si>
  <si>
    <t>Scenedesmus quadricauda</t>
  </si>
  <si>
    <t>Ahlgren, G. 1987. Temperature functions in biology and their application to algal growth constant. Oikos 49:177-190.</t>
  </si>
  <si>
    <t>Prymnesium parvum</t>
  </si>
  <si>
    <t>UTEX LL 2797</t>
  </si>
  <si>
    <t>Baker, J. W., J. P. Grover, R. Ramachandrannair, C. Black, T. W. Valenti, B. W. Brooks, D. L. Roelke. 2009. Growth at the edge of the niche: An experimental study of the harmful alga Prymnesium parvum. Limnol. Oceanogr. 54:1679-1687.</t>
  </si>
  <si>
    <t>Microcystis aeruginosa</t>
  </si>
  <si>
    <t>Baldia, S. F., A. D. Evangelista, E. V. Aralar, and A. E. Santiago. 2007. Nitrogen and phosphorus utilization in the cyanobacterium Microcystis aeruginosa isolated from Laguna de Bay, Philippines. Journal of Applied Phycology 19:607-613.</t>
  </si>
  <si>
    <t>Anabaena flos-aquae</t>
  </si>
  <si>
    <t>Elder, R. G. and M. Parker. 1984. Growth response of a nitrogen fixer (Anabaena flos-aquae, Cyanophyceae) to low nitrate. Journal of Phycology 20:296-301.</t>
  </si>
  <si>
    <t>Trichodesmium erythraeum</t>
  </si>
  <si>
    <t>IMS101</t>
  </si>
  <si>
    <t>Fu, F. X., Y. H. Zhang, P. R. F. Bell, and D. A. Hutchins. 2005. Phosphate uptake and growth kinetics of Trichodesmium (Cyanobacteria) isolates from the North Atlantic Ocean and the Great Barrier Reef, Australia. Journal of Phycology 41:62-73.</t>
  </si>
  <si>
    <t>GBRTRLI101</t>
  </si>
  <si>
    <t>Pavlova lutheri</t>
  </si>
  <si>
    <t>CCMP 1325</t>
  </si>
  <si>
    <t>species alternatively known as Monochrysis lutheri</t>
  </si>
  <si>
    <t>Goldman, J. C. 1977. Steady-state growth of phytoplankton in continuous culture: comparison of internal and external nutrient equations. Journal of Phycology 13:251-258.</t>
  </si>
  <si>
    <t>Chlamydomonas sp.</t>
  </si>
  <si>
    <t>Grover, J. P. 1989. Phorphorus-dependent growth kinetics of 11 species of freshwater algae. Limnology and Oceanography 34:341-348.</t>
  </si>
  <si>
    <t>Chlorella vulgaris</t>
  </si>
  <si>
    <t>Cryptomonas sp.</t>
  </si>
  <si>
    <t>Nitzschia acicularis</t>
  </si>
  <si>
    <t>Nitzschia linearis</t>
  </si>
  <si>
    <t>Nitzschia palea</t>
  </si>
  <si>
    <t>Oocystis pusilla</t>
  </si>
  <si>
    <t>Sphaerocystis schroeteri</t>
  </si>
  <si>
    <t>Synedra radians</t>
  </si>
  <si>
    <t>Synedra rumpens</t>
  </si>
  <si>
    <t>Holm, N. P. and D. E. Armstrong. 1981. Role of nutrient limitation and competition in controlling the populations of Asterionella formosa and Microcystis aeruginosa in semicontinuous culture. Limnology and Oceanography 26:622-634.</t>
  </si>
  <si>
    <t>Diatoma elongatum</t>
  </si>
  <si>
    <t>Kilham, S. S., C. L. Kott, and D. Tilman. 1977. Phosphate and silicate kinetics for the Lake Michigan diatom Diatom elongatum. Journal of Great Lakes Research 3.</t>
  </si>
  <si>
    <t>Anabaena oscillarioides</t>
  </si>
  <si>
    <t>Lam, C. W. Y. 1979. Phosphate requirement of Anabaena oscillarioides and its ecological implications. Hydrobiologia 67:89-96.</t>
  </si>
  <si>
    <t>Laws, E. A., S. F. Pei, P. Bienfang, S. Grant, and W. G. Sunda. 2011. Phosphate-limited growth of Pavlova lutheri (Prymnesiophyceae) in continuous culture: determination of growth-rate-limiting substrate concentrations with a sensitive bioassay procedure. Journal of Phycology 47:1089-1097.</t>
  </si>
  <si>
    <t>Nitzschia closterium</t>
  </si>
  <si>
    <t>Li, T., L. Hu, and Z. Shi. 2000. Effects of nutrients on the growth and the composition of nitrogen and phosphorus of Skeletonema costatum and Nitzschia closterium. Oceanologia et limnologia sinica 31:52-58.</t>
  </si>
  <si>
    <t>Skeletonema costatum</t>
  </si>
  <si>
    <t>Scenedesmus obliquus</t>
  </si>
  <si>
    <t>SAG 276-3a</t>
  </si>
  <si>
    <t>Eucampia zodiacus</t>
  </si>
  <si>
    <t>Nishikawa, T. and Y. Hori. 2004. Effects of nitrogen, phosphorus and silicon on the growth of the diatom Eucampia zodiacus caused bleaching of seaweed w isolated from Harima-Nada, Seto Inland Sea, Japan. Nippon Suisan Gakkaishi 70:31-38.</t>
  </si>
  <si>
    <t>Coscinodiscus wailesii</t>
  </si>
  <si>
    <t>Nishikawa, T. and Y. Hori. 2004. Effects of nitrogen, phosphorus and silicon on a growth of a diatom Coscinodiscus wailesii causing Porphyra bleaching isolated from Harima-Nada, Seto Inland Sea, Japan. Nippon Suisan Gakkaishi 70:872-878.</t>
  </si>
  <si>
    <t>Chlorella emersonii</t>
  </si>
  <si>
    <t>CCAP 211/8H</t>
  </si>
  <si>
    <t>species alternatively known as Chlorella pyrenoidosa</t>
  </si>
  <si>
    <t>Nyholm, N. 1977. Kinetics of phosphate limited algal growth. Biotechnology and Bioengineering 19:467-492.</t>
  </si>
  <si>
    <t>Emiliania huxleyi</t>
  </si>
  <si>
    <t>NIOZ strain L</t>
  </si>
  <si>
    <t>Riegman, R., W. Stolte, A. A. M. Noordeloos, and D. Slezak. 2000. Nutrient uptake, and alkaline phosphate (EC 3 : 1 : 3 : 1) activity of Emiliania huxleyi (Prymnesiophyceae) during growth under N and P limitation in continuous cultures. Journal of Phycology 36:87-96.</t>
  </si>
  <si>
    <t>Pyrocystis noctiluca</t>
  </si>
  <si>
    <t>Rivkin, R. B. and E. Swift. 1985. Phosphorus metabolism of oceanic dinoflagellates: phosphate uptake, chemical composition and growth of Pyrocystis noctiluca. Marine Biology 88:189-198.</t>
  </si>
  <si>
    <t>Volvox aureus</t>
  </si>
  <si>
    <t>Senft, W. H., R. A. Hunchberger, and K. E. Roberts. 1981. Temperture-dependence of growth and phosphorus uptake in two species of Volvox (Volvolcales, Chlorophyta). Journal of Phycology 17:323-329.</t>
  </si>
  <si>
    <t>Volvox globator</t>
  </si>
  <si>
    <t>UTEX LB955</t>
  </si>
  <si>
    <t>Chlamydomonas acidophila</t>
  </si>
  <si>
    <t>SAG 2045</t>
  </si>
  <si>
    <t>Spijkerman, E. 2007. Phosphorus acquisition by Chlamydomonas acidophila under autotrophic and osmo-mixotrophic growth conditions. Journal of Experimental Botany 58:4195-4202.</t>
  </si>
  <si>
    <t>Tilman, D. and S. S. Kilham. 1976. Phosphate and silicate growth and uptake kinetics of the diatoms Asterionella formosa and Cyclotella meneghiniana in batch and semi-continuous culture. Journal of Phycology 12:375-383.</t>
  </si>
  <si>
    <t>Cyclotella meneghiniana</t>
  </si>
  <si>
    <t>Van Donk, E. and S. S. Kilham. 1990. Temperature effects on silicon-limited and phosphorus-limited growth and competitive interactions among 3 diatoms. Journal of Phycology 26:40-50.</t>
  </si>
  <si>
    <t>Fragilaria crotonensis</t>
  </si>
  <si>
    <t>Stephanodiscus hantzschii</t>
  </si>
  <si>
    <t>Karenia brevis</t>
  </si>
  <si>
    <t>species alternatively known as Gymnodinium breve</t>
  </si>
  <si>
    <t xml:space="preserve">Vargo, G. A. and D. Howard-Shamblott. 1990. Phosphorus dynamics in Ptychodiscus brevis: cell phosphorus, uptake and growth requirements. pp. 324-329 in Toxic Marine Phytoplankton vol. 4, eds. A. Gran´li, B. Sundstr_m, and L. Edler. </t>
  </si>
  <si>
    <t>Asterionella glacialis</t>
  </si>
  <si>
    <t>Eppley, R. W. and W. H. Thomas. Comparison of half-saturation constants for growth and nitrate uptake of marine phytoplankton. Journal of Phycology 5:375-379.</t>
  </si>
  <si>
    <t>Chaetoceros gracilis</t>
  </si>
  <si>
    <t>Thalassiosira weissflogii</t>
  </si>
  <si>
    <t>species alternatively known as Thalassiosira fluviatilis</t>
  </si>
  <si>
    <t>Li, W. K. W. 1978. Kinetic analysis of interactive effects of cadmium and nitrate on growth of Thalassiosira fluviatilis (Bacillariophyceae). Journal of Phycology 14:454-460.</t>
  </si>
  <si>
    <t>Shafik, H. M., S. Herodek, M. Presing, L. Voros, and K. V. Balogh. 1997. Growth of Cyclotella meneghiniana Kutz. II. Growth and cell composition under different growth rates with different limiting nutrient. Annales De Limnologie-International Journal of Limnology 33:223-233.</t>
  </si>
  <si>
    <t>species alternatively known as Oscillatoria agardhii</t>
  </si>
  <si>
    <t>Zevenboom, W., G. J. Degroot, and L. R. Mur. 1980. Effects of light on nitrate-limited Oscillatoria agardhii in chemostat cultures. Archives of Microbiology 125:59-65.</t>
  </si>
  <si>
    <t>Key (data reported as in original study)</t>
  </si>
  <si>
    <t>Species: Genus and species of organism. If "sp," this indicates that the organism was not classified in detail. Typically these are also reported using a strain identifier.</t>
  </si>
  <si>
    <t>Strain: Sub strain identifier for the organism (if available) - as reported in the original study</t>
  </si>
  <si>
    <t>Citation: original study</t>
  </si>
  <si>
    <r>
      <rPr>
        <u/>
        <sz val="12"/>
        <color theme="1"/>
        <rFont val="Calibri"/>
        <family val="2"/>
        <scheme val="minor"/>
      </rPr>
      <t>Limiting nutrient:</t>
    </r>
    <r>
      <rPr>
        <sz val="12"/>
        <color theme="1"/>
        <rFont val="Calibri"/>
        <family val="2"/>
        <scheme val="minor"/>
      </rPr>
      <t xml:space="preserve"> Nutrient considered in original experiment</t>
    </r>
  </si>
  <si>
    <r>
      <rPr>
        <u/>
        <sz val="12"/>
        <color theme="1"/>
        <rFont val="Calibri"/>
        <family val="2"/>
        <scheme val="minor"/>
      </rPr>
      <t xml:space="preserve">Autotroph: </t>
    </r>
    <r>
      <rPr>
        <sz val="12"/>
        <color theme="1"/>
        <rFont val="Calibri"/>
        <family val="2"/>
        <scheme val="minor"/>
      </rPr>
      <t>If TRUE, denotes an autotroph</t>
    </r>
  </si>
  <si>
    <r>
      <rPr>
        <u/>
        <sz val="12"/>
        <color theme="1"/>
        <rFont val="Calibri"/>
        <family val="2"/>
        <scheme val="minor"/>
      </rPr>
      <t>Eukaryote:</t>
    </r>
    <r>
      <rPr>
        <sz val="12"/>
        <color theme="1"/>
        <rFont val="Calibri"/>
        <family val="2"/>
        <scheme val="minor"/>
      </rPr>
      <t xml:space="preserve"> If TRUE, denotes a eukaryote (all others are prokaryotes)</t>
    </r>
  </si>
  <si>
    <r>
      <rPr>
        <u/>
        <sz val="12"/>
        <color theme="1"/>
        <rFont val="Calibri"/>
        <family val="2"/>
        <scheme val="minor"/>
      </rPr>
      <t>Experiment type:</t>
    </r>
    <r>
      <rPr>
        <sz val="12"/>
        <color theme="1"/>
        <rFont val="Calibri"/>
        <family val="2"/>
        <scheme val="minor"/>
      </rPr>
      <t xml:space="preserve"> experiment growth type (batch culture, chemostat, semi-continuous) and other details about experimental design. Here, semi-continuous refers to a serial transfer batch culture design</t>
    </r>
  </si>
  <si>
    <r>
      <rPr>
        <u/>
        <sz val="12"/>
        <color theme="1"/>
        <rFont val="Calibri"/>
        <family val="2"/>
        <scheme val="minor"/>
      </rPr>
      <t xml:space="preserve">Experiment temp: </t>
    </r>
    <r>
      <rPr>
        <sz val="12"/>
        <color theme="1"/>
        <rFont val="Calibri"/>
        <family val="2"/>
        <scheme val="minor"/>
      </rPr>
      <t>constant temperature for growth, as reported in original study</t>
    </r>
  </si>
  <si>
    <r>
      <rPr>
        <u/>
        <sz val="12"/>
        <color theme="1"/>
        <rFont val="Calibri"/>
        <family val="2"/>
        <scheme val="minor"/>
      </rPr>
      <t>Media notes:</t>
    </r>
    <r>
      <rPr>
        <sz val="12"/>
        <color theme="1"/>
        <rFont val="Calibri"/>
        <family val="2"/>
        <scheme val="minor"/>
      </rPr>
      <t xml:space="preserve"> Experiment media, reported as named/standardized medias if possible and otherwise classified by us based on chemical composition</t>
    </r>
  </si>
  <si>
    <r>
      <rPr>
        <u/>
        <sz val="12"/>
        <color theme="1"/>
        <rFont val="Calibri"/>
        <family val="2"/>
        <scheme val="minor"/>
      </rPr>
      <t xml:space="preserve">K common unit (uM): </t>
    </r>
    <r>
      <rPr>
        <sz val="12"/>
        <color theme="1"/>
        <rFont val="Calibri"/>
        <family val="2"/>
        <scheme val="minor"/>
      </rPr>
      <t>K value converted by us to unit of uM. If a range was reported in the study, the average was used. we have rounded the trait value to the  number of significant digits used in the source publication, with typically two significant digits. where only one significant digit is shown, the second significant digit is zero and truncated by the Microsoft Excel software.</t>
    </r>
  </si>
  <si>
    <r>
      <rPr>
        <u/>
        <sz val="12"/>
        <color theme="1"/>
        <rFont val="Calibri"/>
        <family val="2"/>
        <scheme val="minor"/>
      </rPr>
      <t>Minimum K:</t>
    </r>
    <r>
      <rPr>
        <sz val="12"/>
        <color theme="1"/>
        <rFont val="Calibri"/>
        <family val="2"/>
        <scheme val="minor"/>
      </rPr>
      <t xml:space="preserve"> If K reported as a range in the original study, the minimum value in the original units</t>
    </r>
  </si>
  <si>
    <r>
      <rPr>
        <u/>
        <sz val="12"/>
        <color theme="1"/>
        <rFont val="Calibri"/>
        <family val="2"/>
        <scheme val="minor"/>
      </rPr>
      <t>Maximum K:</t>
    </r>
    <r>
      <rPr>
        <sz val="12"/>
        <color theme="1"/>
        <rFont val="Calibri"/>
        <family val="2"/>
        <scheme val="minor"/>
      </rPr>
      <t xml:space="preserve"> If K reported as a range in the original study, the maximum value in the original units</t>
    </r>
  </si>
  <si>
    <r>
      <rPr>
        <u/>
        <sz val="12"/>
        <color theme="1"/>
        <rFont val="Calibri"/>
        <family val="2"/>
        <scheme val="minor"/>
      </rPr>
      <t>K error:</t>
    </r>
    <r>
      <rPr>
        <sz val="12"/>
        <color theme="1"/>
        <rFont val="Calibri"/>
        <family val="2"/>
        <scheme val="minor"/>
      </rPr>
      <t xml:space="preserve"> Estimated error in the K value, if reported in the original study and converted by us into units of uM. These are standard deviations of replicate measurements unless otherwise indicated.</t>
    </r>
  </si>
  <si>
    <r>
      <rPr>
        <u/>
        <sz val="12"/>
        <color theme="1"/>
        <rFont val="Calibri"/>
        <family val="2"/>
        <scheme val="minor"/>
      </rPr>
      <t xml:space="preserve">gmax: </t>
    </r>
    <r>
      <rPr>
        <sz val="12"/>
        <color theme="1"/>
        <rFont val="Calibri"/>
        <family val="2"/>
        <scheme val="minor"/>
      </rPr>
      <t xml:space="preserve"> maximum growth rate from the original study. not all studies report this parameter. we have converted all values to the same unit [per hour]. we have rounded the trait value to the  number of significant digits used in the source publication, with typically two significant digits. where only one significant digit is shown, the second significant digit is zero and truncated by the Microsoft Excel software.</t>
    </r>
  </si>
  <si>
    <r>
      <rPr>
        <u/>
        <sz val="12"/>
        <color theme="1"/>
        <rFont val="Calibri"/>
        <family val="2"/>
        <scheme val="minor"/>
      </rPr>
      <t>Comment:</t>
    </r>
    <r>
      <rPr>
        <sz val="12"/>
        <color theme="1"/>
        <rFont val="Calibri"/>
        <family val="2"/>
        <scheme val="minor"/>
      </rPr>
      <t xml:space="preserve"> relevant experiment details</t>
    </r>
  </si>
  <si>
    <r>
      <t>merged from Edwards2015 database:</t>
    </r>
    <r>
      <rPr>
        <sz val="12"/>
        <color theme="1"/>
        <rFont val="Calibri (Body)"/>
      </rPr>
      <t xml:space="preserve"> if TRUE, then this entry has been included from the published database Edwards et al. Ecology 2015 . http://dx.doi.org/10.1890/14-2252.1</t>
    </r>
  </si>
  <si>
    <t xml:space="preserve">Entries here are copied from the sheet 'Database'. </t>
  </si>
  <si>
    <t>Calculating the elemental C:N ratio in growth media for subset of measurments with E. coli on glucose</t>
  </si>
  <si>
    <t>[N] concentration in media</t>
  </si>
  <si>
    <t>3 mM</t>
  </si>
  <si>
    <t>1.98-72</t>
  </si>
  <si>
    <t>0.16-18.7 mM</t>
  </si>
  <si>
    <t>3.48-412.5</t>
  </si>
  <si>
    <r>
      <t xml:space="preserve">Bren, A., Hart, Y., Dekel, E., Koster, D. &amp; Alon, U. The last generation of bacterial growth in limiting nutrient. </t>
    </r>
    <r>
      <rPr>
        <i/>
        <sz val="12"/>
        <color theme="1"/>
        <rFont val="Calibri"/>
        <family val="2"/>
        <scheme val="minor"/>
      </rPr>
      <t>BMC Syst. Biol.</t>
    </r>
    <r>
      <rPr>
        <sz val="11"/>
        <color theme="1"/>
        <rFont val="Calibri"/>
        <family val="2"/>
        <scheme val="minor"/>
      </rPr>
      <t xml:space="preserve"> </t>
    </r>
    <r>
      <rPr>
        <b/>
        <sz val="12"/>
        <color theme="1"/>
        <rFont val="Calibri"/>
        <family val="2"/>
        <scheme val="minor"/>
      </rPr>
      <t>7</t>
    </r>
    <r>
      <rPr>
        <sz val="11"/>
        <color theme="1"/>
        <rFont val="Calibri"/>
        <family val="2"/>
        <scheme val="minor"/>
      </rPr>
      <t>, (2013).</t>
    </r>
  </si>
  <si>
    <t>15 mM</t>
  </si>
  <si>
    <t>0.18 average</t>
  </si>
  <si>
    <t>16.65 mM (as urea)</t>
  </si>
  <si>
    <t>88000 ug/L</t>
  </si>
  <si>
    <t>K was reported as a range of values dependent on conditions with minimum 77000 ug/L and maximum 99000 ug/L; see original paper. Here we report the mean value.</t>
  </si>
  <si>
    <t>22.2e-6 - 58.2e-3</t>
  </si>
  <si>
    <t>14.28 mM</t>
  </si>
  <si>
    <t>18e-5 - 6e-3</t>
  </si>
  <si>
    <t>12.4 mM</t>
  </si>
  <si>
    <t>0.66-2.22</t>
  </si>
  <si>
    <t>1 ug/uL</t>
  </si>
  <si>
    <t>Gse medium</t>
  </si>
  <si>
    <t>f/2 media</t>
  </si>
  <si>
    <t>Osterlind B media</t>
  </si>
  <si>
    <t>dilute batch</t>
  </si>
  <si>
    <t>filtered oligotrophic seawater</t>
  </si>
  <si>
    <t>YBCII media</t>
  </si>
  <si>
    <t>WC medium</t>
  </si>
  <si>
    <t>filtered river water</t>
  </si>
  <si>
    <t>artificial seawater</t>
  </si>
  <si>
    <t>Mechling, J. A., and S. S. Kilham. 1982. Temperature effects on silicon limited growth of the Lake Michigan diatom Stephanodiscus Minutus J Phycol
on silicon limited growth of the Lake Michigan diatonm
Stephanodiscus minutus (Bacillariophyceae). J. Phycol.
18:199-205.</t>
  </si>
  <si>
    <t>Ishida, Y., I. Imai, T. Miyagaki, and H. Kadota. 1982. Growth and uptake kinetics of a facultatively oligotrophic bacterium at low nutrient concentrations. Microb. Ecol. 8:23–32.</t>
  </si>
  <si>
    <t>Dykhuizen, D. 1978. Selection for tryptophan auxotrophs of Escherichia coli in glucose-limited chemostats as a test of the energy conservation hypothesis of evolution. Evolution 35:125–150.</t>
  </si>
  <si>
    <t>range of C:N ratios covered in  measurements</t>
  </si>
  <si>
    <t>C:N ratio at the lowest glucose concentration measured</t>
  </si>
  <si>
    <t xml:space="preserve">Pairwise comparison between acclimated and non-acclimated measurements of the resource threshold K </t>
  </si>
  <si>
    <t>ratio: " K acclimated / K non-acclimated"</t>
  </si>
  <si>
    <r>
      <t xml:space="preserve">Kemp, C. W., Robrish, S. A., Curtis, M. A., Sharer, S. A. &amp; Bowen, W. H. Application of a competition model to the growth of Streptococcus mutans and Streptococcus sanguis in binary continuous culture. </t>
    </r>
    <r>
      <rPr>
        <i/>
        <sz val="12"/>
        <color theme="1"/>
        <rFont val="Calibri"/>
        <family val="2"/>
        <scheme val="minor"/>
      </rPr>
      <t>Appl. Environ. Microbiol.</t>
    </r>
    <r>
      <rPr>
        <sz val="11"/>
        <color theme="1"/>
        <rFont val="Calibri"/>
        <family val="2"/>
        <scheme val="minor"/>
      </rPr>
      <t xml:space="preserve"> </t>
    </r>
    <r>
      <rPr>
        <b/>
        <sz val="12"/>
        <color theme="1"/>
        <rFont val="Calibri"/>
        <family val="2"/>
        <scheme val="minor"/>
      </rPr>
      <t>45</t>
    </r>
    <r>
      <rPr>
        <sz val="11"/>
        <color theme="1"/>
        <rFont val="Calibri"/>
        <family val="2"/>
        <scheme val="minor"/>
      </rPr>
      <t>, 1277–1282 (1983).</t>
    </r>
  </si>
  <si>
    <r>
      <t xml:space="preserve">Mechling, J.A., Kilham, S. S. Temperature effects on silicon limited growth of the lake michigan diatom Stephanodiscus Minutus (Baccilariophyceae). </t>
    </r>
    <r>
      <rPr>
        <i/>
        <sz val="12"/>
        <color theme="1"/>
        <rFont val="Calibri"/>
        <family val="2"/>
        <scheme val="minor"/>
      </rPr>
      <t>J. Phycol</t>
    </r>
    <r>
      <rPr>
        <sz val="11"/>
        <color theme="1"/>
        <rFont val="Calibri"/>
        <family val="2"/>
        <scheme val="minor"/>
      </rPr>
      <t xml:space="preserve"> </t>
    </r>
    <r>
      <rPr>
        <b/>
        <sz val="12"/>
        <color theme="1"/>
        <rFont val="Calibri"/>
        <family val="2"/>
        <scheme val="minor"/>
      </rPr>
      <t>18</t>
    </r>
    <r>
      <rPr>
        <sz val="11"/>
        <color theme="1"/>
        <rFont val="Calibri"/>
        <family val="2"/>
        <scheme val="minor"/>
      </rPr>
      <t>, 199–205 (1982).</t>
    </r>
  </si>
  <si>
    <r>
      <t xml:space="preserve">Jannasch, H. W. Growth characteristics of heterotrophic bacteria in seawater. </t>
    </r>
    <r>
      <rPr>
        <i/>
        <sz val="12"/>
        <color theme="1"/>
        <rFont val="Calibri"/>
        <family val="2"/>
        <scheme val="minor"/>
      </rPr>
      <t>J. Bacteriol.</t>
    </r>
    <r>
      <rPr>
        <sz val="11"/>
        <color theme="1"/>
        <rFont val="Calibri"/>
        <family val="2"/>
        <scheme val="minor"/>
      </rPr>
      <t xml:space="preserve"> </t>
    </r>
    <r>
      <rPr>
        <b/>
        <sz val="12"/>
        <color theme="1"/>
        <rFont val="Calibri"/>
        <family val="2"/>
        <scheme val="minor"/>
      </rPr>
      <t>95</t>
    </r>
    <r>
      <rPr>
        <sz val="11"/>
        <color theme="1"/>
        <rFont val="Calibri"/>
        <family val="2"/>
        <scheme val="minor"/>
      </rPr>
      <t>, 722–723 (1968).</t>
    </r>
  </si>
  <si>
    <t>N source</t>
  </si>
  <si>
    <t>sodium glutamate</t>
  </si>
  <si>
    <t>ammonium chloride</t>
  </si>
  <si>
    <t>urea</t>
  </si>
  <si>
    <t xml:space="preserve">ammonium  </t>
  </si>
  <si>
    <t>"L" broth with omitted glucose</t>
  </si>
  <si>
    <t>gmax only approx.</t>
  </si>
  <si>
    <r>
      <rPr>
        <u/>
        <sz val="12"/>
        <color theme="1"/>
        <rFont val="Calibri"/>
        <family val="2"/>
        <scheme val="minor"/>
      </rPr>
      <t>K original unit:</t>
    </r>
    <r>
      <rPr>
        <sz val="12"/>
        <color theme="1"/>
        <rFont val="Calibri"/>
        <family val="2"/>
        <scheme val="minor"/>
      </rPr>
      <t xml:space="preserve"> Monod half-saturation concentration as reported in the original study. If a range was reported in the study, the average is reported</t>
    </r>
  </si>
  <si>
    <t>Table S1. Monod K half-saturation concentration data collected from the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</si>
</sst>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4"/>
      <color theme="1"/>
      <name val="Calibri"/>
      <family val="2"/>
      <scheme val="minor"/>
    </font>
    <font>
      <u/>
      <sz val="12"/>
      <color theme="1"/>
      <name val="Calibri"/>
      <family val="2"/>
      <scheme val="minor"/>
    </font>
    <font>
      <u/>
      <sz val="12"/>
      <color theme="1"/>
      <name val="Calibri (Body)"/>
    </font>
    <font>
      <sz val="12"/>
      <color theme="1"/>
      <name val="Calibri (Body)"/>
    </font>
    <font>
      <sz val="14"/>
      <color theme="1"/>
      <name val="Calibri"/>
      <family val="2"/>
      <scheme val="minor"/>
    </font>
    <font>
      <b/>
      <sz val="12"/>
      <color theme="1"/>
      <name val="Calibri (Body)"/>
    </font>
    <font>
      <sz val="12"/>
      <color theme="1"/>
      <name val="Calibri"/>
      <family val="2"/>
    </font>
    <font>
      <i/>
      <sz val="12"/>
      <color theme="1"/>
      <name val="Calibri"/>
      <family val="2"/>
      <scheme val="minor"/>
    </font>
    <font>
      <sz val="12"/>
      <color rgb="FF000000"/>
      <name val="Calibri"/>
      <family val="2"/>
      <scheme val="minor"/>
    </font>
    <font>
      <b/>
      <sz val="10"/>
      <color rgb="FF000000"/>
      <name val="Tahoma"/>
      <family val="2"/>
    </font>
    <font>
      <sz val="10"/>
      <color rgb="FF000000"/>
      <name val="Tahoma"/>
      <family val="2"/>
    </font>
  </fonts>
  <fills count="10">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9.9978637043366805E-2"/>
        <bgColor theme="6" tint="0.79998168889431442"/>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bgColor indexed="64"/>
      </patternFill>
    </fill>
  </fills>
  <borders count="4">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C9C9C9"/>
      </left>
      <right style="thin">
        <color rgb="FFC9C9C9"/>
      </right>
      <top style="thin">
        <color rgb="FFC9C9C9"/>
      </top>
      <bottom style="thin">
        <color rgb="FFC9C9C9"/>
      </bottom>
      <diagonal/>
    </border>
    <border>
      <left/>
      <right/>
      <top style="thin">
        <color indexed="64"/>
      </top>
      <bottom style="thin">
        <color indexed="64"/>
      </bottom>
      <diagonal/>
    </border>
  </borders>
  <cellStyleXfs count="4">
    <xf numFmtId="0" fontId="0" fillId="0" borderId="0"/>
    <xf numFmtId="0" fontId="3" fillId="0" borderId="0"/>
    <xf numFmtId="0" fontId="2" fillId="0" borderId="0"/>
    <xf numFmtId="0" fontId="2" fillId="0" borderId="0"/>
  </cellStyleXfs>
  <cellXfs count="77">
    <xf numFmtId="0" fontId="0" fillId="0" borderId="0" xfId="0"/>
    <xf numFmtId="0" fontId="10" fillId="0" borderId="0" xfId="0" applyFont="1"/>
    <xf numFmtId="0" fontId="0" fillId="0" borderId="0" xfId="0" applyFill="1"/>
    <xf numFmtId="0" fontId="0" fillId="0" borderId="0" xfId="0" applyAlignment="1"/>
    <xf numFmtId="0" fontId="6" fillId="0" borderId="0" xfId="0" applyFont="1" applyFill="1"/>
    <xf numFmtId="0" fontId="0" fillId="0" borderId="0" xfId="0" applyFill="1" applyAlignment="1"/>
    <xf numFmtId="0" fontId="3" fillId="0" borderId="0" xfId="0" applyFont="1" applyFill="1"/>
    <xf numFmtId="0" fontId="7" fillId="0" borderId="0" xfId="0" applyFont="1" applyFill="1"/>
    <xf numFmtId="0" fontId="8" fillId="0" borderId="0" xfId="0" applyFont="1" applyFill="1"/>
    <xf numFmtId="0" fontId="10" fillId="0" borderId="0" xfId="0" applyFont="1" applyFill="1"/>
    <xf numFmtId="0" fontId="10" fillId="0" borderId="0" xfId="0" applyFont="1" applyFill="1" applyAlignment="1"/>
    <xf numFmtId="2" fontId="0" fillId="0" borderId="0" xfId="0" applyNumberFormat="1" applyFill="1"/>
    <xf numFmtId="0" fontId="4" fillId="2" borderId="3" xfId="0" applyFont="1" applyFill="1" applyBorder="1" applyAlignment="1">
      <alignment horizontal="left"/>
    </xf>
    <xf numFmtId="0" fontId="0" fillId="0" borderId="0" xfId="0" applyAlignment="1">
      <alignment horizontal="left"/>
    </xf>
    <xf numFmtId="0" fontId="6" fillId="0" borderId="0" xfId="2" applyFont="1"/>
    <xf numFmtId="0" fontId="2" fillId="0" borderId="0" xfId="2"/>
    <xf numFmtId="0" fontId="5" fillId="2" borderId="1" xfId="2" applyFont="1" applyFill="1" applyBorder="1" applyAlignment="1">
      <alignment wrapText="1"/>
    </xf>
    <xf numFmtId="49" fontId="5" fillId="2" borderId="1" xfId="2" applyNumberFormat="1" applyFont="1" applyFill="1" applyBorder="1" applyAlignment="1">
      <alignment wrapText="1"/>
    </xf>
    <xf numFmtId="0" fontId="5" fillId="3" borderId="1" xfId="2" applyFont="1" applyFill="1" applyBorder="1" applyAlignment="1">
      <alignment wrapText="1"/>
    </xf>
    <xf numFmtId="0" fontId="5" fillId="4" borderId="1" xfId="2" applyFont="1" applyFill="1" applyBorder="1" applyAlignment="1">
      <alignment wrapText="1"/>
    </xf>
    <xf numFmtId="0" fontId="5" fillId="5" borderId="1" xfId="2" applyFont="1" applyFill="1" applyBorder="1" applyAlignment="1">
      <alignment wrapText="1"/>
    </xf>
    <xf numFmtId="0" fontId="5" fillId="6" borderId="1" xfId="2" applyFont="1" applyFill="1" applyBorder="1" applyAlignment="1">
      <alignment wrapText="1"/>
    </xf>
    <xf numFmtId="0" fontId="11" fillId="6" borderId="1" xfId="2" applyFont="1" applyFill="1" applyBorder="1" applyAlignment="1">
      <alignment wrapText="1"/>
    </xf>
    <xf numFmtId="0" fontId="2" fillId="7" borderId="1" xfId="2" applyFill="1" applyBorder="1" applyAlignment="1">
      <alignment wrapText="1"/>
    </xf>
    <xf numFmtId="49" fontId="2" fillId="7" borderId="1" xfId="2" applyNumberFormat="1" applyFill="1" applyBorder="1" applyAlignment="1">
      <alignment wrapText="1"/>
    </xf>
    <xf numFmtId="0" fontId="12" fillId="7" borderId="1" xfId="2" applyFont="1" applyFill="1" applyBorder="1" applyAlignment="1">
      <alignment wrapText="1"/>
    </xf>
    <xf numFmtId="0" fontId="2" fillId="4" borderId="1" xfId="2" applyFill="1" applyBorder="1" applyAlignment="1">
      <alignment wrapText="1"/>
    </xf>
    <xf numFmtId="0" fontId="2" fillId="8" borderId="1" xfId="2" applyFill="1" applyBorder="1" applyAlignment="1">
      <alignment wrapText="1"/>
    </xf>
    <xf numFmtId="0" fontId="2" fillId="7" borderId="0" xfId="2" applyFill="1"/>
    <xf numFmtId="0" fontId="14" fillId="8" borderId="1" xfId="2" applyFont="1" applyFill="1" applyBorder="1" applyAlignment="1">
      <alignment wrapText="1"/>
    </xf>
    <xf numFmtId="49" fontId="14" fillId="8" borderId="1" xfId="2" applyNumberFormat="1" applyFont="1" applyFill="1" applyBorder="1" applyAlignment="1">
      <alignment wrapText="1"/>
    </xf>
    <xf numFmtId="0" fontId="14" fillId="4" borderId="1" xfId="2" applyFont="1" applyFill="1" applyBorder="1" applyAlignment="1">
      <alignment wrapText="1"/>
    </xf>
    <xf numFmtId="0" fontId="14" fillId="8" borderId="0" xfId="2" applyFont="1" applyFill="1"/>
    <xf numFmtId="0" fontId="2" fillId="8" borderId="0" xfId="2" applyFill="1"/>
    <xf numFmtId="49" fontId="2" fillId="8" borderId="1" xfId="2" applyNumberFormat="1" applyFill="1" applyBorder="1" applyAlignment="1">
      <alignment wrapText="1"/>
    </xf>
    <xf numFmtId="0" fontId="12" fillId="8" borderId="1" xfId="2" applyFont="1" applyFill="1" applyBorder="1" applyAlignment="1">
      <alignment wrapText="1"/>
    </xf>
    <xf numFmtId="49" fontId="12" fillId="7" borderId="1" xfId="2" applyNumberFormat="1" applyFont="1" applyFill="1" applyBorder="1" applyAlignment="1">
      <alignment wrapText="1"/>
    </xf>
    <xf numFmtId="0" fontId="2" fillId="7" borderId="0" xfId="2" applyFill="1" applyAlignment="1">
      <alignment wrapText="1"/>
    </xf>
    <xf numFmtId="49" fontId="12" fillId="8" borderId="1" xfId="2" applyNumberFormat="1" applyFont="1" applyFill="1" applyBorder="1" applyAlignment="1">
      <alignment wrapText="1"/>
    </xf>
    <xf numFmtId="0" fontId="2" fillId="8" borderId="1" xfId="2" applyFill="1" applyBorder="1"/>
    <xf numFmtId="0" fontId="2" fillId="7" borderId="1" xfId="2" applyFill="1" applyBorder="1"/>
    <xf numFmtId="0" fontId="14" fillId="7" borderId="1" xfId="2" applyFont="1" applyFill="1" applyBorder="1" applyAlignment="1">
      <alignment wrapText="1"/>
    </xf>
    <xf numFmtId="1" fontId="2" fillId="4" borderId="1" xfId="2" applyNumberFormat="1" applyFill="1" applyBorder="1" applyAlignment="1">
      <alignment wrapText="1"/>
    </xf>
    <xf numFmtId="0" fontId="14" fillId="7" borderId="0" xfId="2" applyFont="1" applyFill="1"/>
    <xf numFmtId="0" fontId="12" fillId="9" borderId="1" xfId="2" applyFont="1" applyFill="1" applyBorder="1" applyAlignment="1">
      <alignment wrapText="1"/>
    </xf>
    <xf numFmtId="49" fontId="12" fillId="9" borderId="1" xfId="2" applyNumberFormat="1" applyFont="1" applyFill="1" applyBorder="1" applyAlignment="1">
      <alignment wrapText="1"/>
    </xf>
    <xf numFmtId="0" fontId="2" fillId="9" borderId="1" xfId="2" applyFill="1" applyBorder="1"/>
    <xf numFmtId="0" fontId="14" fillId="9" borderId="1" xfId="2" applyFont="1" applyFill="1" applyBorder="1" applyAlignment="1">
      <alignment wrapText="1"/>
    </xf>
    <xf numFmtId="0" fontId="2" fillId="9" borderId="1" xfId="2" applyFill="1" applyBorder="1" applyAlignment="1">
      <alignment wrapText="1"/>
    </xf>
    <xf numFmtId="0" fontId="14" fillId="9" borderId="0" xfId="2" applyFont="1" applyFill="1"/>
    <xf numFmtId="0" fontId="2" fillId="9" borderId="0" xfId="2" applyFill="1"/>
    <xf numFmtId="0" fontId="2" fillId="9" borderId="0" xfId="2" applyFill="1" applyAlignment="1">
      <alignment wrapText="1"/>
    </xf>
    <xf numFmtId="0" fontId="2" fillId="4" borderId="0" xfId="2" applyFill="1" applyAlignment="1">
      <alignment wrapText="1"/>
    </xf>
    <xf numFmtId="0" fontId="6" fillId="0" borderId="0" xfId="3" applyFont="1"/>
    <xf numFmtId="0" fontId="2" fillId="0" borderId="0" xfId="3"/>
    <xf numFmtId="0" fontId="5" fillId="2" borderId="1" xfId="3" applyFont="1" applyFill="1" applyBorder="1" applyAlignment="1">
      <alignment wrapText="1"/>
    </xf>
    <xf numFmtId="49" fontId="5" fillId="2" borderId="1" xfId="3" applyNumberFormat="1" applyFont="1" applyFill="1" applyBorder="1" applyAlignment="1">
      <alignment wrapText="1"/>
    </xf>
    <xf numFmtId="0" fontId="5" fillId="4" borderId="1" xfId="3" applyFont="1" applyFill="1" applyBorder="1" applyAlignment="1">
      <alignment horizontal="left" wrapText="1"/>
    </xf>
    <xf numFmtId="0" fontId="5" fillId="4" borderId="1" xfId="3" applyFont="1" applyFill="1" applyBorder="1" applyAlignment="1">
      <alignment wrapText="1"/>
    </xf>
    <xf numFmtId="0" fontId="5" fillId="4" borderId="0" xfId="3" applyFont="1" applyFill="1"/>
    <xf numFmtId="0" fontId="5" fillId="3" borderId="1" xfId="3" applyFont="1" applyFill="1" applyBorder="1" applyAlignment="1">
      <alignment wrapText="1"/>
    </xf>
    <xf numFmtId="0" fontId="5" fillId="5" borderId="1" xfId="3" applyFont="1" applyFill="1" applyBorder="1" applyAlignment="1">
      <alignment wrapText="1"/>
    </xf>
    <xf numFmtId="0" fontId="5" fillId="6" borderId="1" xfId="3" applyFont="1" applyFill="1" applyBorder="1" applyAlignment="1">
      <alignment wrapText="1"/>
    </xf>
    <xf numFmtId="0" fontId="11" fillId="6" borderId="1" xfId="3" applyFont="1" applyFill="1" applyBorder="1" applyAlignment="1">
      <alignment wrapText="1"/>
    </xf>
    <xf numFmtId="0" fontId="12" fillId="0" borderId="1" xfId="3" applyFont="1" applyBorder="1" applyAlignment="1">
      <alignment wrapText="1"/>
    </xf>
    <xf numFmtId="49" fontId="12" fillId="0" borderId="1" xfId="3" applyNumberFormat="1" applyFont="1" applyBorder="1" applyAlignment="1">
      <alignment wrapText="1"/>
    </xf>
    <xf numFmtId="0" fontId="2" fillId="0" borderId="1" xfId="3" applyBorder="1" applyAlignment="1">
      <alignment wrapText="1"/>
    </xf>
    <xf numFmtId="0" fontId="2" fillId="0" borderId="1" xfId="3" applyBorder="1" applyAlignment="1">
      <alignment horizontal="left" vertical="center" wrapText="1"/>
    </xf>
    <xf numFmtId="49" fontId="2" fillId="0" borderId="1" xfId="3" applyNumberFormat="1" applyBorder="1"/>
    <xf numFmtId="0" fontId="2" fillId="0" borderId="1" xfId="3" applyBorder="1"/>
    <xf numFmtId="0" fontId="2" fillId="0" borderId="0" xfId="3" applyAlignment="1">
      <alignment wrapText="1"/>
    </xf>
    <xf numFmtId="0" fontId="2" fillId="0" borderId="0" xfId="3" applyAlignment="1">
      <alignment horizontal="left" vertical="center" wrapText="1"/>
    </xf>
    <xf numFmtId="0" fontId="2" fillId="0" borderId="2" xfId="3" applyBorder="1"/>
    <xf numFmtId="0" fontId="14" fillId="0" borderId="1" xfId="3" applyFont="1" applyBorder="1" applyAlignment="1">
      <alignment wrapText="1"/>
    </xf>
    <xf numFmtId="0" fontId="14" fillId="0" borderId="0" xfId="3" applyFont="1"/>
    <xf numFmtId="0" fontId="2" fillId="0" borderId="0" xfId="3" applyAlignment="1">
      <alignment vertical="center" wrapText="1"/>
    </xf>
    <xf numFmtId="0" fontId="1" fillId="0" borderId="0" xfId="0" applyFont="1" applyFill="1"/>
  </cellXfs>
  <cellStyles count="4">
    <cellStyle name="Normal" xfId="0" builtinId="0"/>
    <cellStyle name="Normal 2" xfId="1" xr:uid="{515E4BE8-4365-3D45-AF80-A744EB8FFCBC}"/>
    <cellStyle name="Normal 2 2" xfId="3" xr:uid="{660F091D-4A3C-7948-9434-C03AED34C968}"/>
    <cellStyle name="Normal 3" xfId="2" xr:uid="{96C511CB-3DFB-E84C-95CA-6DAF7DFDF0A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304800" cy="304800"/>
    <xdr:sp macro="" textlink="">
      <xdr:nvSpPr>
        <xdr:cNvPr id="2" name="AutoShape 2">
          <a:extLst>
            <a:ext uri="{FF2B5EF4-FFF2-40B4-BE49-F238E27FC236}">
              <a16:creationId xmlns:a16="http://schemas.microsoft.com/office/drawing/2014/main" id="{D63B1E02-8465-064C-94AC-13ACDB9EE317}"/>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3" name="AutoShape 1">
          <a:extLst>
            <a:ext uri="{FF2B5EF4-FFF2-40B4-BE49-F238E27FC236}">
              <a16:creationId xmlns:a16="http://schemas.microsoft.com/office/drawing/2014/main" id="{10B08F19-D017-B54E-AAD1-495478E172F9}"/>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4" name="AutoShape 2">
          <a:extLst>
            <a:ext uri="{FF2B5EF4-FFF2-40B4-BE49-F238E27FC236}">
              <a16:creationId xmlns:a16="http://schemas.microsoft.com/office/drawing/2014/main" id="{74B685E1-3662-6741-B658-3CABD61B634E}"/>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5" name="AutoShape 1">
          <a:extLst>
            <a:ext uri="{FF2B5EF4-FFF2-40B4-BE49-F238E27FC236}">
              <a16:creationId xmlns:a16="http://schemas.microsoft.com/office/drawing/2014/main" id="{15D12AEA-7B3C-DF40-A73B-F77FDF5515B3}"/>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6" name="AutoShape 2">
          <a:extLst>
            <a:ext uri="{FF2B5EF4-FFF2-40B4-BE49-F238E27FC236}">
              <a16:creationId xmlns:a16="http://schemas.microsoft.com/office/drawing/2014/main" id="{7A268567-DC6F-014A-A9F7-EECFCDB835E6}"/>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 name="AutoShape 1">
          <a:extLst>
            <a:ext uri="{FF2B5EF4-FFF2-40B4-BE49-F238E27FC236}">
              <a16:creationId xmlns:a16="http://schemas.microsoft.com/office/drawing/2014/main" id="{7CF12196-4D1A-7D4E-89DE-C66B5678D087}"/>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8" name="AutoShape 2">
          <a:extLst>
            <a:ext uri="{FF2B5EF4-FFF2-40B4-BE49-F238E27FC236}">
              <a16:creationId xmlns:a16="http://schemas.microsoft.com/office/drawing/2014/main" id="{24EC34BF-A268-494D-8A99-97E3AA630741}"/>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 name="AutoShape 1">
          <a:extLst>
            <a:ext uri="{FF2B5EF4-FFF2-40B4-BE49-F238E27FC236}">
              <a16:creationId xmlns:a16="http://schemas.microsoft.com/office/drawing/2014/main" id="{5076E7FE-358A-7540-8FE5-EDA3753A7C69}"/>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0" name="AutoShape 2">
          <a:extLst>
            <a:ext uri="{FF2B5EF4-FFF2-40B4-BE49-F238E27FC236}">
              <a16:creationId xmlns:a16="http://schemas.microsoft.com/office/drawing/2014/main" id="{69B38C8B-8590-674C-8F87-49E91C2B4093}"/>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 name="AutoShape 1">
          <a:extLst>
            <a:ext uri="{FF2B5EF4-FFF2-40B4-BE49-F238E27FC236}">
              <a16:creationId xmlns:a16="http://schemas.microsoft.com/office/drawing/2014/main" id="{04BA398E-949A-C642-940C-A4722647C8A6}"/>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 name="AutoShape 2">
          <a:extLst>
            <a:ext uri="{FF2B5EF4-FFF2-40B4-BE49-F238E27FC236}">
              <a16:creationId xmlns:a16="http://schemas.microsoft.com/office/drawing/2014/main" id="{D0722779-70EA-5D4D-890E-C87410E4DF56}"/>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3" name="AutoShape 2">
          <a:extLst>
            <a:ext uri="{FF2B5EF4-FFF2-40B4-BE49-F238E27FC236}">
              <a16:creationId xmlns:a16="http://schemas.microsoft.com/office/drawing/2014/main" id="{9EBA8D17-5FB0-5244-8BC6-C3388E48DFDE}"/>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4" name="AutoShape 1">
          <a:extLst>
            <a:ext uri="{FF2B5EF4-FFF2-40B4-BE49-F238E27FC236}">
              <a16:creationId xmlns:a16="http://schemas.microsoft.com/office/drawing/2014/main" id="{673E60E8-8540-F640-A204-72E510A207A9}"/>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5" name="AutoShape 1">
          <a:extLst>
            <a:ext uri="{FF2B5EF4-FFF2-40B4-BE49-F238E27FC236}">
              <a16:creationId xmlns:a16="http://schemas.microsoft.com/office/drawing/2014/main" id="{73BED975-42CA-B345-9415-FEA6243B4DB3}"/>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6" name="AutoShape 2">
          <a:extLst>
            <a:ext uri="{FF2B5EF4-FFF2-40B4-BE49-F238E27FC236}">
              <a16:creationId xmlns:a16="http://schemas.microsoft.com/office/drawing/2014/main" id="{43164528-6C79-5C4E-BFE0-A6F741BDB844}"/>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17" name="AutoShape 1">
          <a:extLst>
            <a:ext uri="{FF2B5EF4-FFF2-40B4-BE49-F238E27FC236}">
              <a16:creationId xmlns:a16="http://schemas.microsoft.com/office/drawing/2014/main" id="{26B7F872-F83B-BD49-91E4-C8B5348716D8}"/>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18" name="AutoShape 1">
          <a:extLst>
            <a:ext uri="{FF2B5EF4-FFF2-40B4-BE49-F238E27FC236}">
              <a16:creationId xmlns:a16="http://schemas.microsoft.com/office/drawing/2014/main" id="{F2C85BD0-7480-4942-A7BD-FBAA27BF69A3}"/>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19" name="AutoShape 2">
          <a:extLst>
            <a:ext uri="{FF2B5EF4-FFF2-40B4-BE49-F238E27FC236}">
              <a16:creationId xmlns:a16="http://schemas.microsoft.com/office/drawing/2014/main" id="{13D0E5B7-6337-C44B-AA9E-0BE4E26EF43A}"/>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20" name="AutoShape 1">
          <a:extLst>
            <a:ext uri="{FF2B5EF4-FFF2-40B4-BE49-F238E27FC236}">
              <a16:creationId xmlns:a16="http://schemas.microsoft.com/office/drawing/2014/main" id="{EFAEF726-C09C-4F49-9912-5D583245C673}"/>
            </a:ext>
          </a:extLst>
        </xdr:cNvPr>
        <xdr:cNvSpPr>
          <a:spLocks noChangeAspect="1" noChangeArrowheads="1"/>
        </xdr:cNvSpPr>
      </xdr:nvSpPr>
      <xdr:spPr bwMode="auto">
        <a:xfrm>
          <a:off x="0" y="24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21" name="AutoShape 2">
          <a:extLst>
            <a:ext uri="{FF2B5EF4-FFF2-40B4-BE49-F238E27FC236}">
              <a16:creationId xmlns:a16="http://schemas.microsoft.com/office/drawing/2014/main" id="{944274C0-B33B-CF43-A86D-156A38919DBD}"/>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2" name="AutoShape 1">
          <a:extLst>
            <a:ext uri="{FF2B5EF4-FFF2-40B4-BE49-F238E27FC236}">
              <a16:creationId xmlns:a16="http://schemas.microsoft.com/office/drawing/2014/main" id="{CB43AA5C-596E-2F46-9678-8B25BD6221F4}"/>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3" name="AutoShape 1">
          <a:extLst>
            <a:ext uri="{FF2B5EF4-FFF2-40B4-BE49-F238E27FC236}">
              <a16:creationId xmlns:a16="http://schemas.microsoft.com/office/drawing/2014/main" id="{2792F9C2-58AF-074E-9B28-14024BC9C6B0}"/>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4" name="AutoShape 2">
          <a:extLst>
            <a:ext uri="{FF2B5EF4-FFF2-40B4-BE49-F238E27FC236}">
              <a16:creationId xmlns:a16="http://schemas.microsoft.com/office/drawing/2014/main" id="{7E0670C4-75CC-FF4F-B680-68EF0A21BA00}"/>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5" name="AutoShape 1">
          <a:extLst>
            <a:ext uri="{FF2B5EF4-FFF2-40B4-BE49-F238E27FC236}">
              <a16:creationId xmlns:a16="http://schemas.microsoft.com/office/drawing/2014/main" id="{8BEA052F-6AC2-6140-BD0C-5E4992BD6E04}"/>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6" name="AutoShape 1">
          <a:extLst>
            <a:ext uri="{FF2B5EF4-FFF2-40B4-BE49-F238E27FC236}">
              <a16:creationId xmlns:a16="http://schemas.microsoft.com/office/drawing/2014/main" id="{05018570-5784-3D49-9D2F-20930EFF9CB8}"/>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7" name="AutoShape 2">
          <a:extLst>
            <a:ext uri="{FF2B5EF4-FFF2-40B4-BE49-F238E27FC236}">
              <a16:creationId xmlns:a16="http://schemas.microsoft.com/office/drawing/2014/main" id="{3BF75495-CCA0-4447-9F63-2A1687FA95CB}"/>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xdr:row>
      <xdr:rowOff>0</xdr:rowOff>
    </xdr:from>
    <xdr:ext cx="304800" cy="304800"/>
    <xdr:sp macro="" textlink="">
      <xdr:nvSpPr>
        <xdr:cNvPr id="28" name="AutoShape 1">
          <a:extLst>
            <a:ext uri="{FF2B5EF4-FFF2-40B4-BE49-F238E27FC236}">
              <a16:creationId xmlns:a16="http://schemas.microsoft.com/office/drawing/2014/main" id="{2172F8E5-9D34-C74C-A334-17828DEA1EF0}"/>
            </a:ext>
          </a:extLst>
        </xdr:cNvPr>
        <xdr:cNvSpPr>
          <a:spLocks noChangeAspect="1" noChangeArrowheads="1"/>
        </xdr:cNvSpPr>
      </xdr:nvSpPr>
      <xdr:spPr bwMode="auto">
        <a:xfrm>
          <a:off x="0" y="115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29" name="AutoShape 2">
          <a:extLst>
            <a:ext uri="{FF2B5EF4-FFF2-40B4-BE49-F238E27FC236}">
              <a16:creationId xmlns:a16="http://schemas.microsoft.com/office/drawing/2014/main" id="{74FA69E5-509A-024C-A3AE-F1A7C3C4896A}"/>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xdr:row>
      <xdr:rowOff>0</xdr:rowOff>
    </xdr:from>
    <xdr:ext cx="304800" cy="304800"/>
    <xdr:sp macro="" textlink="">
      <xdr:nvSpPr>
        <xdr:cNvPr id="30" name="AutoShape 1">
          <a:extLst>
            <a:ext uri="{FF2B5EF4-FFF2-40B4-BE49-F238E27FC236}">
              <a16:creationId xmlns:a16="http://schemas.microsoft.com/office/drawing/2014/main" id="{CC2BF2BE-19EB-8C4A-9214-AF86D643368D}"/>
            </a:ext>
          </a:extLst>
        </xdr:cNvPr>
        <xdr:cNvSpPr>
          <a:spLocks noChangeAspect="1" noChangeArrowheads="1"/>
        </xdr:cNvSpPr>
      </xdr:nvSpPr>
      <xdr:spPr bwMode="auto">
        <a:xfrm>
          <a:off x="0" y="115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xdr:row>
      <xdr:rowOff>0</xdr:rowOff>
    </xdr:from>
    <xdr:ext cx="304800" cy="304800"/>
    <xdr:sp macro="" textlink="">
      <xdr:nvSpPr>
        <xdr:cNvPr id="31" name="AutoShape 2">
          <a:extLst>
            <a:ext uri="{FF2B5EF4-FFF2-40B4-BE49-F238E27FC236}">
              <a16:creationId xmlns:a16="http://schemas.microsoft.com/office/drawing/2014/main" id="{88CE7E69-62DD-1F44-9DCF-6F442B809F38}"/>
            </a:ext>
          </a:extLst>
        </xdr:cNvPr>
        <xdr:cNvSpPr>
          <a:spLocks noChangeAspect="1" noChangeArrowheads="1"/>
        </xdr:cNvSpPr>
      </xdr:nvSpPr>
      <xdr:spPr bwMode="auto">
        <a:xfrm>
          <a:off x="0" y="115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2" name="AutoShape 2">
          <a:extLst>
            <a:ext uri="{FF2B5EF4-FFF2-40B4-BE49-F238E27FC236}">
              <a16:creationId xmlns:a16="http://schemas.microsoft.com/office/drawing/2014/main" id="{21231AE7-2D32-764B-AFEE-D01ED3C649F7}"/>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3" name="AutoShape 1">
          <a:extLst>
            <a:ext uri="{FF2B5EF4-FFF2-40B4-BE49-F238E27FC236}">
              <a16:creationId xmlns:a16="http://schemas.microsoft.com/office/drawing/2014/main" id="{9B680FDC-88DD-C24A-A358-1A09CF3F1CE6}"/>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4" name="AutoShape 1">
          <a:extLst>
            <a:ext uri="{FF2B5EF4-FFF2-40B4-BE49-F238E27FC236}">
              <a16:creationId xmlns:a16="http://schemas.microsoft.com/office/drawing/2014/main" id="{3F05813C-5C7E-DF4E-99F7-B3A0E3DEECBE}"/>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5" name="AutoShape 2">
          <a:extLst>
            <a:ext uri="{FF2B5EF4-FFF2-40B4-BE49-F238E27FC236}">
              <a16:creationId xmlns:a16="http://schemas.microsoft.com/office/drawing/2014/main" id="{171D52B9-4401-F64F-BC8A-E051462879ED}"/>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6" name="AutoShape 1">
          <a:extLst>
            <a:ext uri="{FF2B5EF4-FFF2-40B4-BE49-F238E27FC236}">
              <a16:creationId xmlns:a16="http://schemas.microsoft.com/office/drawing/2014/main" id="{8DFAC2AA-E089-7946-BDFB-A8121A7219BD}"/>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7" name="AutoShape 2">
          <a:extLst>
            <a:ext uri="{FF2B5EF4-FFF2-40B4-BE49-F238E27FC236}">
              <a16:creationId xmlns:a16="http://schemas.microsoft.com/office/drawing/2014/main" id="{C365E174-9422-CF41-B93A-B3807E1949BF}"/>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38" name="AutoShape 1">
          <a:extLst>
            <a:ext uri="{FF2B5EF4-FFF2-40B4-BE49-F238E27FC236}">
              <a16:creationId xmlns:a16="http://schemas.microsoft.com/office/drawing/2014/main" id="{2BC2672D-4796-9542-B39A-B96D35B5DFE8}"/>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39" name="AutoShape 1">
          <a:extLst>
            <a:ext uri="{FF2B5EF4-FFF2-40B4-BE49-F238E27FC236}">
              <a16:creationId xmlns:a16="http://schemas.microsoft.com/office/drawing/2014/main" id="{9B5EB0A7-BF38-D548-8183-E0FCFFE7FA5B}"/>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40" name="AutoShape 2">
          <a:extLst>
            <a:ext uri="{FF2B5EF4-FFF2-40B4-BE49-F238E27FC236}">
              <a16:creationId xmlns:a16="http://schemas.microsoft.com/office/drawing/2014/main" id="{8FFC8A9C-3478-F844-80C4-A2406E443C2C}"/>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1" name="AutoShape 1">
          <a:extLst>
            <a:ext uri="{FF2B5EF4-FFF2-40B4-BE49-F238E27FC236}">
              <a16:creationId xmlns:a16="http://schemas.microsoft.com/office/drawing/2014/main" id="{BC23615F-5C4C-4644-B049-31C8971197A8}"/>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2" name="AutoShape 1">
          <a:extLst>
            <a:ext uri="{FF2B5EF4-FFF2-40B4-BE49-F238E27FC236}">
              <a16:creationId xmlns:a16="http://schemas.microsoft.com/office/drawing/2014/main" id="{F4AF0C28-48BA-504C-A93A-061246CCD387}"/>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3" name="AutoShape 2">
          <a:extLst>
            <a:ext uri="{FF2B5EF4-FFF2-40B4-BE49-F238E27FC236}">
              <a16:creationId xmlns:a16="http://schemas.microsoft.com/office/drawing/2014/main" id="{CEB60810-8B00-EA46-AF9D-BBEF6588F5E8}"/>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4" name="AutoShape 1">
          <a:extLst>
            <a:ext uri="{FF2B5EF4-FFF2-40B4-BE49-F238E27FC236}">
              <a16:creationId xmlns:a16="http://schemas.microsoft.com/office/drawing/2014/main" id="{7260BCB8-803D-7B4D-B36C-8896E0B3F038}"/>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5" name="AutoShape 1">
          <a:extLst>
            <a:ext uri="{FF2B5EF4-FFF2-40B4-BE49-F238E27FC236}">
              <a16:creationId xmlns:a16="http://schemas.microsoft.com/office/drawing/2014/main" id="{C0F9287D-9901-3346-9E4B-FC20EE132FFD}"/>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6" name="AutoShape 2">
          <a:extLst>
            <a:ext uri="{FF2B5EF4-FFF2-40B4-BE49-F238E27FC236}">
              <a16:creationId xmlns:a16="http://schemas.microsoft.com/office/drawing/2014/main" id="{06730AC5-1874-5A47-8811-80414EBBBDE2}"/>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7" name="AutoShape 1">
          <a:extLst>
            <a:ext uri="{FF2B5EF4-FFF2-40B4-BE49-F238E27FC236}">
              <a16:creationId xmlns:a16="http://schemas.microsoft.com/office/drawing/2014/main" id="{0F208E8C-7CD7-3244-B5A8-7D135922DD0C}"/>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8" name="AutoShape 1">
          <a:extLst>
            <a:ext uri="{FF2B5EF4-FFF2-40B4-BE49-F238E27FC236}">
              <a16:creationId xmlns:a16="http://schemas.microsoft.com/office/drawing/2014/main" id="{B811C8BA-253B-1E44-955D-E68C1DEDE8D7}"/>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9" name="AutoShape 2">
          <a:extLst>
            <a:ext uri="{FF2B5EF4-FFF2-40B4-BE49-F238E27FC236}">
              <a16:creationId xmlns:a16="http://schemas.microsoft.com/office/drawing/2014/main" id="{D3783844-914D-7C42-8624-C06FD401A05F}"/>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50" name="AutoShape 1">
          <a:extLst>
            <a:ext uri="{FF2B5EF4-FFF2-40B4-BE49-F238E27FC236}">
              <a16:creationId xmlns:a16="http://schemas.microsoft.com/office/drawing/2014/main" id="{A75A1302-E974-CF45-951D-1754B91123A3}"/>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51" name="AutoShape 1">
          <a:extLst>
            <a:ext uri="{FF2B5EF4-FFF2-40B4-BE49-F238E27FC236}">
              <a16:creationId xmlns:a16="http://schemas.microsoft.com/office/drawing/2014/main" id="{02EC23BE-CF72-E441-8197-2334F0A691FC}"/>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52" name="AutoShape 2">
          <a:extLst>
            <a:ext uri="{FF2B5EF4-FFF2-40B4-BE49-F238E27FC236}">
              <a16:creationId xmlns:a16="http://schemas.microsoft.com/office/drawing/2014/main" id="{93697B95-621D-B64B-9D04-F1FFC6908DCD}"/>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3" name="AutoShape 1">
          <a:extLst>
            <a:ext uri="{FF2B5EF4-FFF2-40B4-BE49-F238E27FC236}">
              <a16:creationId xmlns:a16="http://schemas.microsoft.com/office/drawing/2014/main" id="{0F93006A-0654-3742-84E7-96B7EC25E019}"/>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54" name="AutoShape 2">
          <a:extLst>
            <a:ext uri="{FF2B5EF4-FFF2-40B4-BE49-F238E27FC236}">
              <a16:creationId xmlns:a16="http://schemas.microsoft.com/office/drawing/2014/main" id="{C6178D48-FA6D-064C-9D19-D7DF1C2AB3A4}"/>
            </a:ext>
          </a:extLst>
        </xdr:cNvPr>
        <xdr:cNvSpPr>
          <a:spLocks noChangeAspect="1" noChangeArrowheads="1"/>
        </xdr:cNvSpPr>
      </xdr:nvSpPr>
      <xdr:spPr bwMode="auto">
        <a:xfrm>
          <a:off x="0" y="24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5" name="AutoShape 1">
          <a:extLst>
            <a:ext uri="{FF2B5EF4-FFF2-40B4-BE49-F238E27FC236}">
              <a16:creationId xmlns:a16="http://schemas.microsoft.com/office/drawing/2014/main" id="{DDEA1A6B-737B-9C43-AE3D-78873CB06C2E}"/>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6" name="AutoShape 1">
          <a:extLst>
            <a:ext uri="{FF2B5EF4-FFF2-40B4-BE49-F238E27FC236}">
              <a16:creationId xmlns:a16="http://schemas.microsoft.com/office/drawing/2014/main" id="{0974F0B9-515F-FD40-8260-4AC6A5285BFF}"/>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7" name="AutoShape 2">
          <a:extLst>
            <a:ext uri="{FF2B5EF4-FFF2-40B4-BE49-F238E27FC236}">
              <a16:creationId xmlns:a16="http://schemas.microsoft.com/office/drawing/2014/main" id="{E5B30217-CF34-144E-B338-591F0432DDC6}"/>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8" name="AutoShape 1">
          <a:extLst>
            <a:ext uri="{FF2B5EF4-FFF2-40B4-BE49-F238E27FC236}">
              <a16:creationId xmlns:a16="http://schemas.microsoft.com/office/drawing/2014/main" id="{705037F2-F7DB-BC40-8CE5-A4B5D7A2B606}"/>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9" name="AutoShape 1">
          <a:extLst>
            <a:ext uri="{FF2B5EF4-FFF2-40B4-BE49-F238E27FC236}">
              <a16:creationId xmlns:a16="http://schemas.microsoft.com/office/drawing/2014/main" id="{43C61DF7-9C46-1948-A442-4F4F4E330C41}"/>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60" name="AutoShape 2">
          <a:extLst>
            <a:ext uri="{FF2B5EF4-FFF2-40B4-BE49-F238E27FC236}">
              <a16:creationId xmlns:a16="http://schemas.microsoft.com/office/drawing/2014/main" id="{B4808C12-183B-3140-9368-B6947428C50F}"/>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8"/>
  <sheetViews>
    <sheetView tabSelected="1" workbookViewId="0">
      <selection activeCell="D5" sqref="D5"/>
    </sheetView>
  </sheetViews>
  <sheetFormatPr baseColWidth="10" defaultColWidth="8.83203125" defaultRowHeight="15"/>
  <cols>
    <col min="1" max="1" width="15.33203125" customWidth="1"/>
    <col min="2" max="2" width="21.83203125" customWidth="1"/>
    <col min="3" max="3" width="13.1640625" customWidth="1"/>
    <col min="4" max="4" width="10.6640625" customWidth="1"/>
    <col min="5" max="5" width="11" customWidth="1"/>
    <col min="6" max="6" width="16.1640625" customWidth="1"/>
    <col min="7" max="7" width="15.83203125" customWidth="1"/>
    <col min="8" max="8" width="12.83203125" customWidth="1"/>
    <col min="9" max="9" width="11.5" customWidth="1"/>
    <col min="10" max="10" width="17.6640625" customWidth="1"/>
    <col min="11" max="11" width="8.5" customWidth="1"/>
    <col min="12" max="12" width="13" customWidth="1"/>
    <col min="13" max="13" width="11.5" customWidth="1"/>
    <col min="14" max="14" width="8.5" style="3" customWidth="1"/>
    <col min="16" max="16" width="28.33203125" customWidth="1"/>
  </cols>
  <sheetData>
    <row r="1" spans="1:16" ht="19">
      <c r="A1" s="4" t="s">
        <v>494</v>
      </c>
      <c r="B1" s="2"/>
      <c r="C1" s="2"/>
      <c r="D1" s="2"/>
      <c r="E1" s="2"/>
      <c r="F1" s="2"/>
      <c r="G1" s="2"/>
      <c r="H1" s="2"/>
      <c r="I1" s="2"/>
      <c r="J1" s="2"/>
      <c r="K1" s="2"/>
      <c r="L1" s="2"/>
      <c r="M1" s="2"/>
      <c r="N1" s="5"/>
      <c r="O1" s="2"/>
      <c r="P1" s="2"/>
    </row>
    <row r="2" spans="1:16" ht="19">
      <c r="A2" s="4" t="s">
        <v>431</v>
      </c>
      <c r="B2" s="2"/>
      <c r="C2" s="2"/>
      <c r="D2" s="2"/>
      <c r="E2" s="2"/>
      <c r="F2" s="2"/>
      <c r="G2" s="2"/>
      <c r="H2" s="2"/>
      <c r="I2" s="2"/>
      <c r="J2" s="2"/>
      <c r="K2" s="2"/>
      <c r="L2" s="2"/>
      <c r="M2" s="2"/>
      <c r="N2" s="5"/>
      <c r="O2" s="2"/>
      <c r="P2" s="2"/>
    </row>
    <row r="3" spans="1:16" ht="16">
      <c r="A3" s="6" t="s">
        <v>435</v>
      </c>
      <c r="B3" s="2"/>
      <c r="C3" s="2"/>
      <c r="D3" s="2"/>
      <c r="E3" s="2"/>
      <c r="F3" s="2"/>
      <c r="G3" s="2"/>
      <c r="H3" s="2"/>
      <c r="I3" s="2"/>
      <c r="J3" s="2"/>
      <c r="K3" s="2"/>
      <c r="L3" s="2"/>
      <c r="M3" s="2"/>
      <c r="N3" s="5"/>
      <c r="O3" s="2"/>
      <c r="P3" s="2"/>
    </row>
    <row r="4" spans="1:16" ht="16">
      <c r="A4" s="6" t="s">
        <v>432</v>
      </c>
      <c r="B4" s="2"/>
      <c r="C4" s="2"/>
      <c r="D4" s="2"/>
      <c r="E4" s="2"/>
      <c r="F4" s="2"/>
      <c r="G4" s="2"/>
      <c r="H4" s="2"/>
      <c r="I4" s="2"/>
      <c r="J4" s="2"/>
      <c r="K4" s="2"/>
      <c r="L4" s="2"/>
      <c r="M4" s="2"/>
      <c r="N4" s="5"/>
      <c r="O4" s="2"/>
      <c r="P4" s="2"/>
    </row>
    <row r="5" spans="1:16" ht="16">
      <c r="A5" s="6" t="s">
        <v>433</v>
      </c>
      <c r="B5" s="2"/>
      <c r="C5" s="2"/>
      <c r="D5" s="2"/>
      <c r="E5" s="2"/>
      <c r="F5" s="2"/>
      <c r="G5" s="2"/>
      <c r="H5" s="2"/>
      <c r="I5" s="2"/>
      <c r="J5" s="2"/>
      <c r="K5" s="2"/>
      <c r="L5" s="2"/>
      <c r="M5" s="2"/>
      <c r="N5" s="5"/>
      <c r="O5" s="2"/>
      <c r="P5" s="2"/>
    </row>
    <row r="6" spans="1:16" ht="16">
      <c r="A6" s="6" t="s">
        <v>436</v>
      </c>
      <c r="B6" s="2"/>
      <c r="C6" s="2"/>
      <c r="D6" s="2"/>
      <c r="E6" s="2"/>
      <c r="F6" s="2"/>
      <c r="G6" s="2"/>
      <c r="H6" s="2"/>
      <c r="I6" s="2"/>
      <c r="J6" s="2"/>
      <c r="K6" s="2"/>
      <c r="L6" s="2"/>
      <c r="M6" s="2"/>
      <c r="N6" s="5"/>
      <c r="O6" s="2"/>
      <c r="P6" s="2"/>
    </row>
    <row r="7" spans="1:16" ht="16">
      <c r="A7" s="6" t="s">
        <v>437</v>
      </c>
      <c r="B7" s="2"/>
      <c r="C7" s="2"/>
      <c r="D7" s="2"/>
      <c r="E7" s="2"/>
      <c r="F7" s="2"/>
      <c r="G7" s="2"/>
      <c r="H7" s="2"/>
      <c r="I7" s="2"/>
      <c r="J7" s="2"/>
      <c r="K7" s="2"/>
      <c r="L7" s="2"/>
      <c r="M7" s="2"/>
      <c r="N7" s="5"/>
      <c r="O7" s="2"/>
      <c r="P7" s="2"/>
    </row>
    <row r="8" spans="1:16" ht="16">
      <c r="A8" s="6" t="s">
        <v>438</v>
      </c>
      <c r="B8" s="2"/>
      <c r="C8" s="2"/>
      <c r="D8" s="2"/>
      <c r="E8" s="2"/>
      <c r="F8" s="2"/>
      <c r="G8" s="2"/>
      <c r="H8" s="2"/>
      <c r="I8" s="2"/>
      <c r="J8" s="2"/>
      <c r="K8" s="2"/>
      <c r="L8" s="2"/>
      <c r="M8" s="2"/>
      <c r="N8" s="5"/>
      <c r="O8" s="2"/>
      <c r="P8" s="2"/>
    </row>
    <row r="9" spans="1:16" ht="16">
      <c r="A9" s="6" t="s">
        <v>439</v>
      </c>
      <c r="B9" s="2"/>
      <c r="C9" s="2"/>
      <c r="D9" s="2"/>
      <c r="E9" s="2"/>
      <c r="F9" s="2"/>
      <c r="G9" s="2"/>
      <c r="H9" s="2"/>
      <c r="I9" s="2"/>
      <c r="J9" s="2"/>
      <c r="K9" s="2"/>
      <c r="L9" s="2"/>
      <c r="M9" s="2"/>
      <c r="N9" s="5"/>
      <c r="O9" s="2"/>
      <c r="P9" s="2"/>
    </row>
    <row r="10" spans="1:16" ht="16">
      <c r="A10" s="6" t="s">
        <v>440</v>
      </c>
      <c r="B10" s="2"/>
      <c r="C10" s="2"/>
      <c r="D10" s="2"/>
      <c r="E10" s="2"/>
      <c r="F10" s="2"/>
      <c r="G10" s="2"/>
      <c r="H10" s="2"/>
      <c r="I10" s="2"/>
      <c r="J10" s="2"/>
      <c r="K10" s="2"/>
      <c r="L10" s="2"/>
      <c r="M10" s="2"/>
      <c r="N10" s="5"/>
      <c r="O10" s="2"/>
      <c r="P10" s="2"/>
    </row>
    <row r="11" spans="1:16" ht="16">
      <c r="A11" s="76" t="s">
        <v>493</v>
      </c>
      <c r="B11" s="2"/>
      <c r="C11" s="2"/>
      <c r="D11" s="2"/>
      <c r="E11" s="2"/>
      <c r="F11" s="2"/>
      <c r="G11" s="2"/>
      <c r="H11" s="2"/>
      <c r="I11" s="2"/>
      <c r="J11" s="2"/>
      <c r="K11" s="2"/>
      <c r="L11" s="2"/>
      <c r="M11" s="2"/>
      <c r="N11" s="5"/>
      <c r="O11" s="2"/>
      <c r="P11" s="2"/>
    </row>
    <row r="12" spans="1:16" ht="16">
      <c r="A12" s="6" t="s">
        <v>441</v>
      </c>
      <c r="B12" s="2"/>
      <c r="C12" s="2"/>
      <c r="D12" s="2"/>
      <c r="E12" s="2"/>
      <c r="F12" s="2"/>
      <c r="G12" s="2"/>
      <c r="H12" s="2"/>
      <c r="I12" s="2"/>
      <c r="J12" s="2"/>
      <c r="K12" s="2"/>
      <c r="L12" s="2"/>
      <c r="M12" s="2"/>
      <c r="N12" s="5"/>
      <c r="O12" s="2"/>
      <c r="P12" s="2"/>
    </row>
    <row r="13" spans="1:16" ht="16">
      <c r="A13" s="6" t="s">
        <v>442</v>
      </c>
      <c r="B13" s="2"/>
      <c r="C13" s="2"/>
      <c r="D13" s="2"/>
      <c r="E13" s="2"/>
      <c r="F13" s="2"/>
      <c r="G13" s="2"/>
      <c r="H13" s="2"/>
      <c r="I13" s="2"/>
      <c r="J13" s="2"/>
      <c r="K13" s="2"/>
      <c r="L13" s="2"/>
      <c r="M13" s="2"/>
      <c r="N13" s="5"/>
      <c r="O13" s="2"/>
      <c r="P13" s="2"/>
    </row>
    <row r="14" spans="1:16" ht="16">
      <c r="A14" s="6" t="s">
        <v>443</v>
      </c>
      <c r="B14" s="2"/>
      <c r="C14" s="2"/>
      <c r="D14" s="2"/>
      <c r="E14" s="2"/>
      <c r="F14" s="2"/>
      <c r="G14" s="2"/>
      <c r="H14" s="2"/>
      <c r="I14" s="2"/>
      <c r="J14" s="2"/>
      <c r="K14" s="2"/>
      <c r="L14" s="2"/>
      <c r="M14" s="2"/>
      <c r="N14" s="5"/>
      <c r="O14" s="2"/>
      <c r="P14" s="2"/>
    </row>
    <row r="15" spans="1:16" ht="16">
      <c r="A15" s="6" t="s">
        <v>444</v>
      </c>
      <c r="B15" s="2"/>
      <c r="C15" s="2"/>
      <c r="D15" s="2"/>
      <c r="E15" s="2"/>
      <c r="F15" s="2"/>
      <c r="G15" s="2"/>
      <c r="H15" s="2"/>
      <c r="I15" s="2"/>
      <c r="J15" s="2"/>
      <c r="K15" s="2"/>
      <c r="L15" s="2"/>
      <c r="M15" s="2"/>
      <c r="N15" s="5"/>
      <c r="O15" s="2"/>
      <c r="P15" s="2"/>
    </row>
    <row r="16" spans="1:16" ht="16">
      <c r="A16" s="6" t="s">
        <v>445</v>
      </c>
      <c r="B16" s="2"/>
      <c r="C16" s="2"/>
      <c r="D16" s="2"/>
      <c r="E16" s="2"/>
      <c r="F16" s="2"/>
      <c r="G16" s="2"/>
      <c r="H16" s="2"/>
      <c r="I16" s="2"/>
      <c r="J16" s="2"/>
      <c r="K16" s="2"/>
      <c r="L16" s="2"/>
      <c r="M16" s="2"/>
      <c r="N16" s="5"/>
      <c r="O16" s="2"/>
      <c r="P16" s="2"/>
    </row>
    <row r="17" spans="1:16" ht="16">
      <c r="A17" s="6" t="s">
        <v>446</v>
      </c>
      <c r="B17" s="2"/>
      <c r="C17" s="2"/>
      <c r="D17" s="2"/>
      <c r="E17" s="2"/>
      <c r="F17" s="2"/>
      <c r="G17" s="2"/>
      <c r="H17" s="2"/>
      <c r="I17" s="2"/>
      <c r="J17" s="2"/>
      <c r="K17" s="2"/>
      <c r="L17" s="2"/>
      <c r="M17" s="2"/>
      <c r="N17" s="5"/>
      <c r="O17" s="2"/>
      <c r="P17" s="2"/>
    </row>
    <row r="18" spans="1:16" ht="16">
      <c r="A18" s="7" t="s">
        <v>434</v>
      </c>
      <c r="B18" s="2"/>
      <c r="C18" s="2"/>
      <c r="D18" s="2"/>
      <c r="E18" s="2"/>
      <c r="F18" s="2"/>
      <c r="G18" s="2"/>
      <c r="H18" s="2"/>
      <c r="I18" s="2"/>
      <c r="J18" s="2"/>
      <c r="K18" s="2"/>
      <c r="L18" s="2"/>
      <c r="M18" s="2"/>
      <c r="N18" s="5"/>
      <c r="O18" s="2"/>
      <c r="P18" s="2"/>
    </row>
    <row r="19" spans="1:16" ht="16">
      <c r="A19" s="7" t="s">
        <v>14</v>
      </c>
      <c r="B19" s="2"/>
      <c r="C19" s="2"/>
      <c r="D19" s="2"/>
      <c r="E19" s="2"/>
      <c r="F19" s="2"/>
      <c r="G19" s="2"/>
      <c r="H19" s="2"/>
      <c r="I19" s="2"/>
      <c r="J19" s="2"/>
      <c r="K19" s="2"/>
      <c r="L19" s="2"/>
      <c r="M19" s="2"/>
      <c r="N19" s="5"/>
      <c r="O19" s="2"/>
      <c r="P19" s="2"/>
    </row>
    <row r="20" spans="1:16" s="1" customFormat="1" ht="19">
      <c r="A20" s="8" t="s">
        <v>447</v>
      </c>
      <c r="B20" s="9"/>
      <c r="C20" s="9"/>
      <c r="D20" s="9"/>
      <c r="E20" s="9"/>
      <c r="F20" s="9"/>
      <c r="G20" s="9"/>
      <c r="H20" s="9"/>
      <c r="I20" s="9"/>
      <c r="J20" s="9"/>
      <c r="K20" s="9"/>
      <c r="L20" s="9"/>
      <c r="M20" s="9"/>
      <c r="N20" s="10"/>
      <c r="O20" s="9"/>
      <c r="P20" s="9"/>
    </row>
    <row r="21" spans="1:16" s="13" customFormat="1" ht="24" customHeight="1">
      <c r="A21" s="12" t="s">
        <v>0</v>
      </c>
      <c r="B21" s="12" t="s">
        <v>1</v>
      </c>
      <c r="C21" s="12" t="s">
        <v>2</v>
      </c>
      <c r="D21" s="12" t="s">
        <v>3</v>
      </c>
      <c r="E21" s="12" t="s">
        <v>4</v>
      </c>
      <c r="F21" s="12" t="s">
        <v>5</v>
      </c>
      <c r="G21" s="12" t="s">
        <v>6</v>
      </c>
      <c r="H21" s="12" t="s">
        <v>7</v>
      </c>
      <c r="I21" s="12" t="s">
        <v>8</v>
      </c>
      <c r="J21" s="12" t="s">
        <v>9</v>
      </c>
      <c r="K21" s="12" t="s">
        <v>10</v>
      </c>
      <c r="L21" s="12" t="s">
        <v>11</v>
      </c>
      <c r="M21" s="12" t="s">
        <v>12</v>
      </c>
      <c r="N21" s="12" t="s">
        <v>13</v>
      </c>
      <c r="O21" s="12" t="s">
        <v>14</v>
      </c>
      <c r="P21" s="12" t="s">
        <v>15</v>
      </c>
    </row>
    <row r="22" spans="1:16">
      <c r="A22" s="2" t="s">
        <v>16</v>
      </c>
      <c r="B22" s="2" t="s">
        <v>17</v>
      </c>
      <c r="C22" s="2" t="s">
        <v>18</v>
      </c>
      <c r="D22" s="2" t="b">
        <v>0</v>
      </c>
      <c r="E22" s="2" t="b">
        <v>0</v>
      </c>
      <c r="F22" s="2" t="s">
        <v>19</v>
      </c>
      <c r="G22" s="2">
        <v>37</v>
      </c>
      <c r="H22" s="2" t="s">
        <v>20</v>
      </c>
      <c r="I22" s="2" t="s">
        <v>21</v>
      </c>
      <c r="J22" s="2">
        <v>39.799999999999997</v>
      </c>
      <c r="K22" s="2"/>
      <c r="L22" s="2">
        <v>0.76</v>
      </c>
      <c r="M22" s="2"/>
      <c r="N22" s="5" t="s">
        <v>478</v>
      </c>
      <c r="O22" s="2">
        <v>1978</v>
      </c>
      <c r="P22" s="2" t="b">
        <v>0</v>
      </c>
    </row>
    <row r="23" spans="1:16">
      <c r="A23" s="2" t="s">
        <v>16</v>
      </c>
      <c r="B23" s="2" t="s">
        <v>17</v>
      </c>
      <c r="C23" s="2" t="s">
        <v>22</v>
      </c>
      <c r="D23" s="2" t="b">
        <v>0</v>
      </c>
      <c r="E23" s="2" t="b">
        <v>0</v>
      </c>
      <c r="F23" s="2" t="s">
        <v>19</v>
      </c>
      <c r="G23" s="2">
        <v>20</v>
      </c>
      <c r="H23" s="2" t="s">
        <v>20</v>
      </c>
      <c r="I23" s="2" t="s">
        <v>23</v>
      </c>
      <c r="J23" s="2">
        <v>47</v>
      </c>
      <c r="K23" s="2"/>
      <c r="L23" s="2">
        <v>0.55000000000000004</v>
      </c>
      <c r="M23" s="2" t="s">
        <v>24</v>
      </c>
      <c r="N23" s="5" t="s">
        <v>477</v>
      </c>
      <c r="O23" s="2">
        <v>1982</v>
      </c>
      <c r="P23" s="2" t="b">
        <v>0</v>
      </c>
    </row>
    <row r="24" spans="1:16">
      <c r="A24" s="2" t="s">
        <v>25</v>
      </c>
      <c r="B24" s="2" t="s">
        <v>26</v>
      </c>
      <c r="C24" s="2"/>
      <c r="D24" s="2" t="b">
        <v>1</v>
      </c>
      <c r="E24" s="2" t="b">
        <v>1</v>
      </c>
      <c r="F24" s="2" t="s">
        <v>27</v>
      </c>
      <c r="G24" s="2">
        <v>15</v>
      </c>
      <c r="H24" s="2" t="s">
        <v>28</v>
      </c>
      <c r="I24" s="2" t="s">
        <v>29</v>
      </c>
      <c r="J24" s="2">
        <v>0.12</v>
      </c>
      <c r="K24" s="2"/>
      <c r="L24" s="2">
        <v>3.5000000000000003E-2</v>
      </c>
      <c r="M24" s="2"/>
      <c r="N24" s="5" t="s">
        <v>476</v>
      </c>
      <c r="O24" s="2">
        <v>1982</v>
      </c>
      <c r="P24" s="2" t="b">
        <v>0</v>
      </c>
    </row>
    <row r="25" spans="1:16">
      <c r="A25" s="2" t="s">
        <v>25</v>
      </c>
      <c r="B25" s="2" t="s">
        <v>26</v>
      </c>
      <c r="C25" s="2"/>
      <c r="D25" s="2" t="b">
        <v>1</v>
      </c>
      <c r="E25" s="2" t="b">
        <v>1</v>
      </c>
      <c r="F25" s="2" t="s">
        <v>19</v>
      </c>
      <c r="G25" s="2">
        <v>10</v>
      </c>
      <c r="H25" s="2" t="s">
        <v>28</v>
      </c>
      <c r="I25" s="2" t="s">
        <v>30</v>
      </c>
      <c r="J25" s="2">
        <v>0.31</v>
      </c>
      <c r="K25" s="2"/>
      <c r="L25" s="2">
        <v>0.03</v>
      </c>
      <c r="M25" s="2"/>
      <c r="N25" s="5" t="s">
        <v>476</v>
      </c>
      <c r="O25" s="2">
        <v>1982</v>
      </c>
      <c r="P25" s="2" t="b">
        <v>0</v>
      </c>
    </row>
    <row r="26" spans="1:16">
      <c r="A26" s="2" t="s">
        <v>16</v>
      </c>
      <c r="B26" s="2" t="s">
        <v>17</v>
      </c>
      <c r="C26" s="2" t="s">
        <v>39</v>
      </c>
      <c r="D26" s="2" t="b">
        <v>0</v>
      </c>
      <c r="E26" s="2" t="b">
        <v>0</v>
      </c>
      <c r="F26" s="2" t="s">
        <v>19</v>
      </c>
      <c r="G26" s="2">
        <v>37</v>
      </c>
      <c r="H26" s="2" t="s">
        <v>491</v>
      </c>
      <c r="I26" s="2" t="s">
        <v>41</v>
      </c>
      <c r="J26" s="2">
        <v>3</v>
      </c>
      <c r="K26" s="2"/>
      <c r="L26" s="2">
        <v>0.46</v>
      </c>
      <c r="M26" s="2"/>
      <c r="N26" s="5" t="s">
        <v>42</v>
      </c>
      <c r="O26" s="2">
        <v>1977</v>
      </c>
      <c r="P26" s="2" t="b">
        <v>0</v>
      </c>
    </row>
    <row r="27" spans="1:16">
      <c r="A27" s="2" t="s">
        <v>43</v>
      </c>
      <c r="B27" s="2" t="s">
        <v>17</v>
      </c>
      <c r="C27" s="2" t="s">
        <v>44</v>
      </c>
      <c r="D27" s="2" t="b">
        <v>0</v>
      </c>
      <c r="E27" s="2" t="b">
        <v>0</v>
      </c>
      <c r="F27" s="2" t="s">
        <v>19</v>
      </c>
      <c r="G27" s="2">
        <v>37</v>
      </c>
      <c r="H27" s="2" t="s">
        <v>45</v>
      </c>
      <c r="I27" s="2" t="s">
        <v>46</v>
      </c>
      <c r="J27" s="2">
        <v>2.6</v>
      </c>
      <c r="K27" s="2" t="s">
        <v>47</v>
      </c>
      <c r="L27" s="2">
        <v>0.9</v>
      </c>
      <c r="M27" s="2" t="s">
        <v>492</v>
      </c>
      <c r="N27" s="5" t="s">
        <v>48</v>
      </c>
      <c r="O27" s="2">
        <v>2013</v>
      </c>
      <c r="P27" s="2" t="b">
        <v>0</v>
      </c>
    </row>
    <row r="28" spans="1:16">
      <c r="A28" s="2" t="s">
        <v>16</v>
      </c>
      <c r="B28" s="2" t="s">
        <v>17</v>
      </c>
      <c r="C28" s="2" t="s">
        <v>44</v>
      </c>
      <c r="D28" s="2" t="b">
        <v>0</v>
      </c>
      <c r="E28" s="2" t="b">
        <v>0</v>
      </c>
      <c r="F28" s="2" t="s">
        <v>19</v>
      </c>
      <c r="G28" s="2">
        <v>37</v>
      </c>
      <c r="H28" s="2" t="s">
        <v>49</v>
      </c>
      <c r="I28" s="2" t="s">
        <v>50</v>
      </c>
      <c r="J28" s="2">
        <v>5</v>
      </c>
      <c r="K28" s="2" t="s">
        <v>51</v>
      </c>
      <c r="L28" s="2">
        <v>0.9</v>
      </c>
      <c r="M28" s="2" t="s">
        <v>52</v>
      </c>
      <c r="N28" s="5" t="s">
        <v>48</v>
      </c>
      <c r="O28" s="2">
        <v>2013</v>
      </c>
      <c r="P28" s="2" t="b">
        <v>0</v>
      </c>
    </row>
    <row r="29" spans="1:16">
      <c r="A29" s="2" t="s">
        <v>31</v>
      </c>
      <c r="B29" s="2" t="s">
        <v>53</v>
      </c>
      <c r="C29" s="2"/>
      <c r="D29" s="2" t="b">
        <v>1</v>
      </c>
      <c r="E29" s="2" t="b">
        <v>1</v>
      </c>
      <c r="F29" s="2" t="s">
        <v>33</v>
      </c>
      <c r="G29" s="2">
        <v>20</v>
      </c>
      <c r="H29" s="2"/>
      <c r="I29" s="2" t="s">
        <v>54</v>
      </c>
      <c r="J29" s="2">
        <v>1.7999999999999999E-2</v>
      </c>
      <c r="K29" s="2"/>
      <c r="L29" s="2">
        <v>0.05</v>
      </c>
      <c r="M29" s="2"/>
      <c r="N29" s="5" t="s">
        <v>55</v>
      </c>
      <c r="O29" s="2">
        <v>1979</v>
      </c>
      <c r="P29" s="2" t="b">
        <v>0</v>
      </c>
    </row>
    <row r="30" spans="1:16">
      <c r="A30" s="2" t="s">
        <v>16</v>
      </c>
      <c r="B30" s="2" t="s">
        <v>56</v>
      </c>
      <c r="C30" s="2"/>
      <c r="D30" s="2" t="b">
        <v>0</v>
      </c>
      <c r="E30" s="2" t="b">
        <v>1</v>
      </c>
      <c r="F30" s="2" t="s">
        <v>33</v>
      </c>
      <c r="G30" s="2">
        <v>35</v>
      </c>
      <c r="H30" s="2" t="s">
        <v>57</v>
      </c>
      <c r="I30" s="2" t="s">
        <v>58</v>
      </c>
      <c r="J30" s="2">
        <v>49</v>
      </c>
      <c r="K30" s="2"/>
      <c r="L30" s="2">
        <v>0.51</v>
      </c>
      <c r="M30" s="2"/>
      <c r="N30" s="5" t="s">
        <v>59</v>
      </c>
      <c r="O30" s="2">
        <v>1966</v>
      </c>
      <c r="P30" s="2" t="b">
        <v>0</v>
      </c>
    </row>
    <row r="31" spans="1:16">
      <c r="A31" s="2" t="s">
        <v>16</v>
      </c>
      <c r="B31" s="2" t="s">
        <v>17</v>
      </c>
      <c r="C31" s="2" t="s">
        <v>60</v>
      </c>
      <c r="D31" s="2" t="b">
        <v>0</v>
      </c>
      <c r="E31" s="2" t="b">
        <v>0</v>
      </c>
      <c r="F31" s="2" t="s">
        <v>33</v>
      </c>
      <c r="G31" s="2">
        <v>37</v>
      </c>
      <c r="H31" s="2" t="s">
        <v>20</v>
      </c>
      <c r="I31" s="2" t="s">
        <v>61</v>
      </c>
      <c r="J31" s="2">
        <v>0.18</v>
      </c>
      <c r="K31" s="2"/>
      <c r="L31" s="2">
        <v>0.76</v>
      </c>
      <c r="M31" s="2"/>
      <c r="N31" s="5" t="s">
        <v>62</v>
      </c>
      <c r="O31" s="2">
        <v>1985</v>
      </c>
      <c r="P31" s="2" t="b">
        <v>0</v>
      </c>
    </row>
    <row r="32" spans="1:16">
      <c r="A32" s="2" t="s">
        <v>16</v>
      </c>
      <c r="B32" s="2" t="s">
        <v>17</v>
      </c>
      <c r="C32" s="2" t="s">
        <v>60</v>
      </c>
      <c r="D32" s="2" t="b">
        <v>0</v>
      </c>
      <c r="E32" s="2" t="b">
        <v>0</v>
      </c>
      <c r="F32" s="2" t="s">
        <v>33</v>
      </c>
      <c r="G32" s="2">
        <v>28.4</v>
      </c>
      <c r="H32" s="2" t="s">
        <v>20</v>
      </c>
      <c r="I32" s="2" t="s">
        <v>61</v>
      </c>
      <c r="J32" s="2">
        <v>0.18</v>
      </c>
      <c r="K32" s="2"/>
      <c r="L32" s="2">
        <v>0.54</v>
      </c>
      <c r="M32" s="2"/>
      <c r="N32" s="5" t="s">
        <v>62</v>
      </c>
      <c r="O32" s="2">
        <v>1985</v>
      </c>
      <c r="P32" s="2" t="b">
        <v>0</v>
      </c>
    </row>
    <row r="33" spans="1:16">
      <c r="A33" s="2" t="s">
        <v>16</v>
      </c>
      <c r="B33" s="2" t="s">
        <v>17</v>
      </c>
      <c r="C33" s="2" t="s">
        <v>60</v>
      </c>
      <c r="D33" s="2" t="b">
        <v>0</v>
      </c>
      <c r="E33" s="2" t="b">
        <v>0</v>
      </c>
      <c r="F33" s="2" t="s">
        <v>33</v>
      </c>
      <c r="G33" s="2">
        <v>17.399999999999999</v>
      </c>
      <c r="H33" s="2" t="s">
        <v>20</v>
      </c>
      <c r="I33" s="2" t="s">
        <v>61</v>
      </c>
      <c r="J33" s="2">
        <v>0.18</v>
      </c>
      <c r="K33" s="2"/>
      <c r="L33" s="2">
        <v>0.19</v>
      </c>
      <c r="M33" s="2"/>
      <c r="N33" s="5" t="s">
        <v>62</v>
      </c>
      <c r="O33" s="2">
        <v>1985</v>
      </c>
      <c r="P33" s="2" t="b">
        <v>0</v>
      </c>
    </row>
    <row r="34" spans="1:16">
      <c r="A34" s="2" t="s">
        <v>63</v>
      </c>
      <c r="B34" s="2" t="s">
        <v>64</v>
      </c>
      <c r="C34" s="2"/>
      <c r="D34" s="2" t="b">
        <v>0</v>
      </c>
      <c r="E34" s="2" t="b">
        <v>1</v>
      </c>
      <c r="F34" s="2" t="s">
        <v>33</v>
      </c>
      <c r="G34" s="2">
        <v>25</v>
      </c>
      <c r="H34" s="2" t="s">
        <v>65</v>
      </c>
      <c r="I34" s="2" t="s">
        <v>66</v>
      </c>
      <c r="J34" s="2">
        <v>4.7E-7</v>
      </c>
      <c r="K34" s="2"/>
      <c r="L34" s="2">
        <v>0.27</v>
      </c>
      <c r="M34" s="2"/>
      <c r="N34" s="5" t="s">
        <v>67</v>
      </c>
      <c r="O34" s="2">
        <v>1969</v>
      </c>
      <c r="P34" s="2" t="b">
        <v>0</v>
      </c>
    </row>
    <row r="35" spans="1:16">
      <c r="A35" s="2" t="s">
        <v>31</v>
      </c>
      <c r="B35" s="2" t="s">
        <v>68</v>
      </c>
      <c r="C35" s="2"/>
      <c r="D35" s="2" t="b">
        <v>0</v>
      </c>
      <c r="E35" s="2" t="b">
        <v>1</v>
      </c>
      <c r="F35" s="2" t="s">
        <v>33</v>
      </c>
      <c r="G35" s="2"/>
      <c r="H35" s="2"/>
      <c r="I35" s="2" t="s">
        <v>69</v>
      </c>
      <c r="J35" s="2">
        <v>0.01</v>
      </c>
      <c r="K35" s="2"/>
      <c r="L35" s="2">
        <v>0.18</v>
      </c>
      <c r="M35" s="2"/>
      <c r="N35" s="5" t="s">
        <v>70</v>
      </c>
      <c r="O35" s="2">
        <v>1973</v>
      </c>
      <c r="P35" s="2" t="b">
        <v>0</v>
      </c>
    </row>
    <row r="36" spans="1:16">
      <c r="A36" s="2" t="s">
        <v>71</v>
      </c>
      <c r="B36" s="2" t="s">
        <v>72</v>
      </c>
      <c r="C36" s="2"/>
      <c r="D36" s="2" t="b">
        <v>1</v>
      </c>
      <c r="E36" s="2" t="b">
        <v>1</v>
      </c>
      <c r="F36" s="2" t="s">
        <v>33</v>
      </c>
      <c r="G36" s="2"/>
      <c r="H36" s="2"/>
      <c r="I36" s="2" t="s">
        <v>73</v>
      </c>
      <c r="J36" s="2">
        <v>0.3</v>
      </c>
      <c r="K36" s="2"/>
      <c r="L36" s="2"/>
      <c r="M36" s="2" t="s">
        <v>74</v>
      </c>
      <c r="N36" s="5" t="s">
        <v>75</v>
      </c>
      <c r="O36" s="2">
        <v>1968</v>
      </c>
      <c r="P36" s="2" t="b">
        <v>0</v>
      </c>
    </row>
    <row r="37" spans="1:16">
      <c r="A37" s="2" t="s">
        <v>76</v>
      </c>
      <c r="B37" s="2" t="s">
        <v>77</v>
      </c>
      <c r="C37" s="2" t="s">
        <v>78</v>
      </c>
      <c r="D37" s="2" t="b">
        <v>0</v>
      </c>
      <c r="E37" s="2" t="b">
        <v>0</v>
      </c>
      <c r="F37" s="2" t="s">
        <v>33</v>
      </c>
      <c r="G37" s="2">
        <v>40</v>
      </c>
      <c r="H37" s="2"/>
      <c r="I37" s="2" t="s">
        <v>79</v>
      </c>
      <c r="J37" s="2">
        <v>23</v>
      </c>
      <c r="K37" s="2"/>
      <c r="L37" s="2">
        <v>0.75</v>
      </c>
      <c r="M37" s="2"/>
      <c r="N37" s="5" t="s">
        <v>80</v>
      </c>
      <c r="O37" s="2">
        <v>1967</v>
      </c>
      <c r="P37" s="2" t="b">
        <v>0</v>
      </c>
    </row>
    <row r="38" spans="1:16">
      <c r="A38" s="2" t="s">
        <v>81</v>
      </c>
      <c r="B38" s="2" t="s">
        <v>77</v>
      </c>
      <c r="C38" s="2" t="s">
        <v>78</v>
      </c>
      <c r="D38" s="2" t="b">
        <v>0</v>
      </c>
      <c r="E38" s="2" t="b">
        <v>0</v>
      </c>
      <c r="F38" s="2" t="s">
        <v>33</v>
      </c>
      <c r="G38" s="2">
        <v>40</v>
      </c>
      <c r="H38" s="2"/>
      <c r="I38" s="2" t="s">
        <v>82</v>
      </c>
      <c r="J38" s="2">
        <v>10</v>
      </c>
      <c r="K38" s="2"/>
      <c r="L38" s="2">
        <v>0.75</v>
      </c>
      <c r="M38" s="2"/>
      <c r="N38" s="5" t="s">
        <v>80</v>
      </c>
      <c r="O38" s="2">
        <v>1967</v>
      </c>
      <c r="P38" s="2" t="b">
        <v>0</v>
      </c>
    </row>
    <row r="39" spans="1:16">
      <c r="A39" s="2" t="s">
        <v>83</v>
      </c>
      <c r="B39" s="2" t="s">
        <v>77</v>
      </c>
      <c r="C39" s="2" t="s">
        <v>78</v>
      </c>
      <c r="D39" s="2" t="b">
        <v>0</v>
      </c>
      <c r="E39" s="2" t="b">
        <v>0</v>
      </c>
      <c r="F39" s="2" t="s">
        <v>33</v>
      </c>
      <c r="G39" s="2"/>
      <c r="H39" s="2"/>
      <c r="I39" s="2" t="s">
        <v>84</v>
      </c>
      <c r="J39" s="2">
        <v>2.8</v>
      </c>
      <c r="K39" s="2"/>
      <c r="L39" s="2">
        <v>0.75</v>
      </c>
      <c r="M39" s="2"/>
      <c r="N39" s="5" t="s">
        <v>80</v>
      </c>
      <c r="O39" s="2">
        <v>1967</v>
      </c>
      <c r="P39" s="2" t="b">
        <v>0</v>
      </c>
    </row>
    <row r="40" spans="1:16">
      <c r="A40" s="2" t="s">
        <v>16</v>
      </c>
      <c r="B40" s="2" t="s">
        <v>17</v>
      </c>
      <c r="C40" s="2" t="s">
        <v>85</v>
      </c>
      <c r="D40" s="2" t="b">
        <v>0</v>
      </c>
      <c r="E40" s="2" t="b">
        <v>0</v>
      </c>
      <c r="F40" s="2" t="s">
        <v>19</v>
      </c>
      <c r="G40" s="2">
        <v>26</v>
      </c>
      <c r="H40" s="2" t="s">
        <v>20</v>
      </c>
      <c r="I40" s="2" t="s">
        <v>86</v>
      </c>
      <c r="J40" s="2">
        <v>13</v>
      </c>
      <c r="K40" s="2"/>
      <c r="L40" s="2">
        <v>0.55000000000000004</v>
      </c>
      <c r="M40" s="2"/>
      <c r="N40" s="5" t="s">
        <v>87</v>
      </c>
      <c r="O40" s="2">
        <v>1993</v>
      </c>
      <c r="P40" s="2" t="b">
        <v>0</v>
      </c>
    </row>
    <row r="41" spans="1:16">
      <c r="A41" s="2" t="s">
        <v>88</v>
      </c>
      <c r="B41" s="2" t="s">
        <v>89</v>
      </c>
      <c r="C41" s="2"/>
      <c r="D41" s="2" t="b">
        <v>1</v>
      </c>
      <c r="E41" s="2" t="b">
        <v>1</v>
      </c>
      <c r="F41" s="2" t="s">
        <v>33</v>
      </c>
      <c r="G41" s="2"/>
      <c r="H41" s="2"/>
      <c r="I41" s="2" t="s">
        <v>90</v>
      </c>
      <c r="J41" s="2">
        <v>9.9999999999999995E-8</v>
      </c>
      <c r="K41" s="2"/>
      <c r="L41" s="2"/>
      <c r="M41" s="2"/>
      <c r="N41" s="5" t="s">
        <v>91</v>
      </c>
      <c r="O41" s="2">
        <v>1974</v>
      </c>
      <c r="P41" s="2" t="b">
        <v>0</v>
      </c>
    </row>
    <row r="42" spans="1:16">
      <c r="A42" s="2" t="s">
        <v>92</v>
      </c>
      <c r="B42" s="2" t="s">
        <v>17</v>
      </c>
      <c r="C42" s="2">
        <v>322</v>
      </c>
      <c r="D42" s="2" t="b">
        <v>0</v>
      </c>
      <c r="E42" s="2" t="b">
        <v>0</v>
      </c>
      <c r="F42" s="2" t="s">
        <v>33</v>
      </c>
      <c r="G42" s="2">
        <v>37</v>
      </c>
      <c r="H42" s="2" t="s">
        <v>20</v>
      </c>
      <c r="I42" s="2" t="s">
        <v>93</v>
      </c>
      <c r="J42" s="2">
        <v>59</v>
      </c>
      <c r="K42" s="2"/>
      <c r="L42" s="2">
        <v>0.89</v>
      </c>
      <c r="M42" s="2"/>
      <c r="N42" s="5" t="s">
        <v>94</v>
      </c>
      <c r="O42" s="2">
        <v>1980</v>
      </c>
      <c r="P42" s="2" t="b">
        <v>0</v>
      </c>
    </row>
    <row r="43" spans="1:16">
      <c r="A43" s="2" t="s">
        <v>92</v>
      </c>
      <c r="B43" s="2" t="s">
        <v>17</v>
      </c>
      <c r="C43" s="2">
        <v>323</v>
      </c>
      <c r="D43" s="2" t="b">
        <v>0</v>
      </c>
      <c r="E43" s="2" t="b">
        <v>0</v>
      </c>
      <c r="F43" s="2" t="s">
        <v>33</v>
      </c>
      <c r="G43" s="2">
        <v>37</v>
      </c>
      <c r="H43" s="2" t="s">
        <v>20</v>
      </c>
      <c r="I43" s="2" t="s">
        <v>95</v>
      </c>
      <c r="J43" s="2">
        <v>59.5</v>
      </c>
      <c r="K43" s="2"/>
      <c r="L43" s="2">
        <v>0.8</v>
      </c>
      <c r="M43" s="2"/>
      <c r="N43" s="5" t="s">
        <v>94</v>
      </c>
      <c r="O43" s="2">
        <v>1980</v>
      </c>
      <c r="P43" s="2" t="b">
        <v>0</v>
      </c>
    </row>
    <row r="44" spans="1:16">
      <c r="A44" s="2" t="s">
        <v>92</v>
      </c>
      <c r="B44" s="2" t="s">
        <v>17</v>
      </c>
      <c r="C44" s="2">
        <v>372</v>
      </c>
      <c r="D44" s="2" t="b">
        <v>0</v>
      </c>
      <c r="E44" s="2" t="b">
        <v>0</v>
      </c>
      <c r="F44" s="2" t="s">
        <v>33</v>
      </c>
      <c r="G44" s="2">
        <v>37</v>
      </c>
      <c r="H44" s="2" t="s">
        <v>20</v>
      </c>
      <c r="I44" s="2" t="s">
        <v>96</v>
      </c>
      <c r="J44" s="2">
        <v>34</v>
      </c>
      <c r="K44" s="2"/>
      <c r="L44" s="2">
        <v>0.77</v>
      </c>
      <c r="M44" s="2"/>
      <c r="N44" s="5" t="s">
        <v>94</v>
      </c>
      <c r="O44" s="2">
        <v>1980</v>
      </c>
      <c r="P44" s="2" t="b">
        <v>0</v>
      </c>
    </row>
    <row r="45" spans="1:16">
      <c r="A45" s="2" t="s">
        <v>97</v>
      </c>
      <c r="B45" s="2" t="s">
        <v>17</v>
      </c>
      <c r="C45" s="2" t="s">
        <v>98</v>
      </c>
      <c r="D45" s="2" t="b">
        <v>0</v>
      </c>
      <c r="E45" s="2" t="b">
        <v>0</v>
      </c>
      <c r="F45" s="2" t="s">
        <v>33</v>
      </c>
      <c r="G45" s="2">
        <v>37</v>
      </c>
      <c r="H45" s="2" t="s">
        <v>20</v>
      </c>
      <c r="I45" s="2" t="s">
        <v>99</v>
      </c>
      <c r="J45" s="2">
        <v>25</v>
      </c>
      <c r="K45" s="2"/>
      <c r="L45" s="2">
        <v>0.76</v>
      </c>
      <c r="M45" s="2"/>
      <c r="N45" s="5" t="s">
        <v>94</v>
      </c>
      <c r="O45" s="2">
        <v>1980</v>
      </c>
      <c r="P45" s="2" t="b">
        <v>0</v>
      </c>
    </row>
    <row r="46" spans="1:16">
      <c r="A46" s="2" t="s">
        <v>31</v>
      </c>
      <c r="B46" s="2" t="s">
        <v>17</v>
      </c>
      <c r="C46" s="2"/>
      <c r="D46" s="2" t="b">
        <v>0</v>
      </c>
      <c r="E46" s="2" t="b">
        <v>0</v>
      </c>
      <c r="F46" s="2" t="s">
        <v>19</v>
      </c>
      <c r="G46" s="2"/>
      <c r="H46" s="2"/>
      <c r="I46" s="2" t="s">
        <v>100</v>
      </c>
      <c r="J46" s="2">
        <v>2</v>
      </c>
      <c r="K46" s="2"/>
      <c r="L46" s="2">
        <v>0.92</v>
      </c>
      <c r="M46" s="2"/>
      <c r="N46" s="5" t="s">
        <v>101</v>
      </c>
      <c r="O46" s="2">
        <v>1979</v>
      </c>
      <c r="P46" s="2" t="b">
        <v>0</v>
      </c>
    </row>
    <row r="47" spans="1:16">
      <c r="A47" s="2" t="s">
        <v>102</v>
      </c>
      <c r="B47" s="2" t="s">
        <v>103</v>
      </c>
      <c r="C47" s="2" t="s">
        <v>104</v>
      </c>
      <c r="D47" s="2" t="b">
        <v>0</v>
      </c>
      <c r="E47" s="2" t="b">
        <v>0</v>
      </c>
      <c r="F47" s="2" t="s">
        <v>33</v>
      </c>
      <c r="G47" s="2">
        <v>37</v>
      </c>
      <c r="H47" s="2" t="s">
        <v>20</v>
      </c>
      <c r="I47" s="2" t="s">
        <v>105</v>
      </c>
      <c r="J47" s="2">
        <v>135</v>
      </c>
      <c r="K47" s="2"/>
      <c r="L47" s="2"/>
      <c r="M47" s="2"/>
      <c r="N47" s="5" t="s">
        <v>106</v>
      </c>
      <c r="O47" s="2">
        <v>1956</v>
      </c>
      <c r="P47" s="2" t="b">
        <v>0</v>
      </c>
    </row>
    <row r="48" spans="1:16">
      <c r="A48" s="2" t="s">
        <v>16</v>
      </c>
      <c r="B48" s="2" t="s">
        <v>17</v>
      </c>
      <c r="C48" s="2"/>
      <c r="D48" s="2" t="b">
        <v>0</v>
      </c>
      <c r="E48" s="2" t="b">
        <v>0</v>
      </c>
      <c r="F48" s="2" t="s">
        <v>107</v>
      </c>
      <c r="G48" s="2">
        <v>20</v>
      </c>
      <c r="H48" s="2" t="s">
        <v>20</v>
      </c>
      <c r="I48" s="2" t="s">
        <v>108</v>
      </c>
      <c r="J48" s="2">
        <v>44</v>
      </c>
      <c r="K48" s="2"/>
      <c r="L48" s="2">
        <v>0.65</v>
      </c>
      <c r="M48" s="2" t="s">
        <v>109</v>
      </c>
      <c r="N48" s="5" t="s">
        <v>110</v>
      </c>
      <c r="O48" s="2">
        <v>1968</v>
      </c>
      <c r="P48" s="2" t="b">
        <v>0</v>
      </c>
    </row>
    <row r="49" spans="1:16">
      <c r="A49" s="2" t="s">
        <v>16</v>
      </c>
      <c r="B49" s="2" t="s">
        <v>111</v>
      </c>
      <c r="C49" s="2">
        <v>208</v>
      </c>
      <c r="D49" s="2" t="b">
        <v>0</v>
      </c>
      <c r="E49" s="2" t="b">
        <v>0</v>
      </c>
      <c r="F49" s="2" t="s">
        <v>107</v>
      </c>
      <c r="G49" s="2">
        <v>20</v>
      </c>
      <c r="H49" s="2" t="s">
        <v>112</v>
      </c>
      <c r="I49" s="2" t="s">
        <v>113</v>
      </c>
      <c r="J49" s="2">
        <v>30</v>
      </c>
      <c r="K49" s="2"/>
      <c r="L49" s="2">
        <v>0.35</v>
      </c>
      <c r="M49" s="2"/>
      <c r="N49" s="5" t="s">
        <v>114</v>
      </c>
      <c r="O49" s="2">
        <v>1968</v>
      </c>
      <c r="P49" s="2" t="b">
        <v>0</v>
      </c>
    </row>
    <row r="50" spans="1:16">
      <c r="A50" s="2" t="s">
        <v>16</v>
      </c>
      <c r="B50" s="2" t="s">
        <v>115</v>
      </c>
      <c r="C50" s="2">
        <v>204</v>
      </c>
      <c r="D50" s="2" t="b">
        <v>0</v>
      </c>
      <c r="E50" s="2" t="b">
        <v>0</v>
      </c>
      <c r="F50" s="2" t="s">
        <v>107</v>
      </c>
      <c r="G50" s="2">
        <v>20</v>
      </c>
      <c r="H50" s="2" t="s">
        <v>112</v>
      </c>
      <c r="I50" s="2" t="s">
        <v>116</v>
      </c>
      <c r="J50" s="2">
        <v>55</v>
      </c>
      <c r="K50" s="2" t="s">
        <v>117</v>
      </c>
      <c r="L50" s="2">
        <v>0.4</v>
      </c>
      <c r="M50" s="2"/>
      <c r="N50" s="5" t="s">
        <v>114</v>
      </c>
      <c r="O50" s="2">
        <v>1968</v>
      </c>
      <c r="P50" s="2" t="b">
        <v>0</v>
      </c>
    </row>
    <row r="51" spans="1:16">
      <c r="A51" s="2" t="s">
        <v>16</v>
      </c>
      <c r="B51" s="2" t="s">
        <v>118</v>
      </c>
      <c r="C51" s="2">
        <v>201</v>
      </c>
      <c r="D51" s="2" t="b">
        <v>0</v>
      </c>
      <c r="E51" s="2" t="b">
        <v>0</v>
      </c>
      <c r="F51" s="2" t="s">
        <v>107</v>
      </c>
      <c r="G51" s="2">
        <v>20</v>
      </c>
      <c r="H51" s="2" t="s">
        <v>112</v>
      </c>
      <c r="I51" s="2" t="s">
        <v>119</v>
      </c>
      <c r="J51" s="2">
        <v>105</v>
      </c>
      <c r="K51" s="2" t="s">
        <v>117</v>
      </c>
      <c r="L51" s="2">
        <v>0.95</v>
      </c>
      <c r="M51" s="2"/>
      <c r="N51" s="5" t="s">
        <v>114</v>
      </c>
      <c r="O51" s="2">
        <v>1968</v>
      </c>
      <c r="P51" s="2" t="b">
        <v>0</v>
      </c>
    </row>
    <row r="52" spans="1:16">
      <c r="A52" s="2" t="s">
        <v>16</v>
      </c>
      <c r="B52" s="2" t="s">
        <v>111</v>
      </c>
      <c r="C52" s="2">
        <v>208</v>
      </c>
      <c r="D52" s="2" t="b">
        <v>0</v>
      </c>
      <c r="E52" s="2" t="b">
        <v>0</v>
      </c>
      <c r="F52" s="2" t="s">
        <v>107</v>
      </c>
      <c r="G52" s="2">
        <v>20</v>
      </c>
      <c r="H52" s="2" t="s">
        <v>112</v>
      </c>
      <c r="I52" s="2" t="s">
        <v>120</v>
      </c>
      <c r="J52" s="2">
        <v>120</v>
      </c>
      <c r="K52" s="2"/>
      <c r="L52" s="2">
        <v>0.9</v>
      </c>
      <c r="M52" s="2" t="s">
        <v>121</v>
      </c>
      <c r="N52" s="5" t="s">
        <v>114</v>
      </c>
      <c r="O52" s="2">
        <v>1968</v>
      </c>
      <c r="P52" s="2" t="b">
        <v>0</v>
      </c>
    </row>
    <row r="53" spans="1:16">
      <c r="A53" s="2" t="s">
        <v>16</v>
      </c>
      <c r="B53" s="2" t="s">
        <v>118</v>
      </c>
      <c r="C53" s="2">
        <v>201</v>
      </c>
      <c r="D53" s="2" t="b">
        <v>0</v>
      </c>
      <c r="E53" s="2" t="b">
        <v>0</v>
      </c>
      <c r="F53" s="2" t="s">
        <v>107</v>
      </c>
      <c r="G53" s="2">
        <v>20</v>
      </c>
      <c r="H53" s="2" t="s">
        <v>112</v>
      </c>
      <c r="I53" s="2" t="s">
        <v>122</v>
      </c>
      <c r="J53" s="2">
        <v>180</v>
      </c>
      <c r="K53" s="2"/>
      <c r="L53" s="2">
        <v>1.6</v>
      </c>
      <c r="M53" s="2" t="s">
        <v>121</v>
      </c>
      <c r="N53" s="5" t="s">
        <v>114</v>
      </c>
      <c r="O53" s="2">
        <v>1968</v>
      </c>
      <c r="P53" s="2" t="b">
        <v>0</v>
      </c>
    </row>
    <row r="54" spans="1:16">
      <c r="A54" s="2" t="s">
        <v>123</v>
      </c>
      <c r="B54" s="2" t="s">
        <v>111</v>
      </c>
      <c r="C54" s="2">
        <v>208</v>
      </c>
      <c r="D54" s="2" t="b">
        <v>0</v>
      </c>
      <c r="E54" s="2" t="b">
        <v>0</v>
      </c>
      <c r="F54" s="2" t="s">
        <v>107</v>
      </c>
      <c r="G54" s="2">
        <v>20</v>
      </c>
      <c r="H54" s="2" t="s">
        <v>112</v>
      </c>
      <c r="I54" s="2" t="s">
        <v>124</v>
      </c>
      <c r="J54" s="2">
        <v>10</v>
      </c>
      <c r="K54" s="2"/>
      <c r="L54" s="2">
        <v>0.15</v>
      </c>
      <c r="M54" s="2"/>
      <c r="N54" s="5" t="s">
        <v>114</v>
      </c>
      <c r="O54" s="2">
        <v>1968</v>
      </c>
      <c r="P54" s="2" t="b">
        <v>0</v>
      </c>
    </row>
    <row r="55" spans="1:16">
      <c r="A55" s="2" t="s">
        <v>123</v>
      </c>
      <c r="B55" s="2" t="s">
        <v>115</v>
      </c>
      <c r="C55" s="2">
        <v>204</v>
      </c>
      <c r="D55" s="2" t="b">
        <v>0</v>
      </c>
      <c r="E55" s="2" t="b">
        <v>0</v>
      </c>
      <c r="F55" s="2" t="s">
        <v>107</v>
      </c>
      <c r="G55" s="2">
        <v>20</v>
      </c>
      <c r="H55" s="2" t="s">
        <v>112</v>
      </c>
      <c r="I55" s="2" t="s">
        <v>125</v>
      </c>
      <c r="J55" s="2">
        <v>8</v>
      </c>
      <c r="K55" s="2" t="s">
        <v>117</v>
      </c>
      <c r="L55" s="2">
        <v>0.15</v>
      </c>
      <c r="M55" s="2"/>
      <c r="N55" s="5" t="s">
        <v>114</v>
      </c>
      <c r="O55" s="2">
        <v>1968</v>
      </c>
      <c r="P55" s="2" t="b">
        <v>0</v>
      </c>
    </row>
    <row r="56" spans="1:16">
      <c r="A56" s="2" t="s">
        <v>123</v>
      </c>
      <c r="B56" s="2" t="s">
        <v>126</v>
      </c>
      <c r="C56" s="2">
        <v>101</v>
      </c>
      <c r="D56" s="2" t="b">
        <v>0</v>
      </c>
      <c r="E56" s="2" t="b">
        <v>0</v>
      </c>
      <c r="F56" s="2" t="s">
        <v>107</v>
      </c>
      <c r="G56" s="2">
        <v>20</v>
      </c>
      <c r="H56" s="2" t="s">
        <v>112</v>
      </c>
      <c r="I56" s="2" t="s">
        <v>127</v>
      </c>
      <c r="J56" s="2">
        <v>30</v>
      </c>
      <c r="K56" s="2" t="s">
        <v>117</v>
      </c>
      <c r="L56" s="2">
        <v>0.45</v>
      </c>
      <c r="M56" s="2"/>
      <c r="N56" s="5" t="s">
        <v>114</v>
      </c>
      <c r="O56" s="2">
        <v>1968</v>
      </c>
      <c r="P56" s="2" t="b">
        <v>0</v>
      </c>
    </row>
    <row r="57" spans="1:16">
      <c r="A57" s="2" t="s">
        <v>123</v>
      </c>
      <c r="B57" s="2" t="s">
        <v>118</v>
      </c>
      <c r="C57" s="2">
        <v>201</v>
      </c>
      <c r="D57" s="2" t="b">
        <v>0</v>
      </c>
      <c r="E57" s="2" t="b">
        <v>0</v>
      </c>
      <c r="F57" s="2" t="s">
        <v>107</v>
      </c>
      <c r="G57" s="2">
        <v>20</v>
      </c>
      <c r="H57" s="2" t="s">
        <v>112</v>
      </c>
      <c r="I57" s="2" t="s">
        <v>128</v>
      </c>
      <c r="J57" s="2">
        <v>90</v>
      </c>
      <c r="K57" s="2" t="s">
        <v>117</v>
      </c>
      <c r="L57" s="2">
        <v>0.8</v>
      </c>
      <c r="M57" s="2"/>
      <c r="N57" s="5" t="s">
        <v>114</v>
      </c>
      <c r="O57" s="2">
        <v>1968</v>
      </c>
      <c r="P57" s="2" t="b">
        <v>0</v>
      </c>
    </row>
    <row r="58" spans="1:16">
      <c r="A58" s="2" t="s">
        <v>123</v>
      </c>
      <c r="B58" s="2" t="s">
        <v>111</v>
      </c>
      <c r="C58" s="2">
        <v>208</v>
      </c>
      <c r="D58" s="2" t="b">
        <v>0</v>
      </c>
      <c r="E58" s="2" t="b">
        <v>0</v>
      </c>
      <c r="F58" s="2" t="s">
        <v>107</v>
      </c>
      <c r="G58" s="2">
        <v>20</v>
      </c>
      <c r="H58" s="2" t="s">
        <v>112</v>
      </c>
      <c r="I58" s="2" t="s">
        <v>129</v>
      </c>
      <c r="J58" s="2">
        <v>50</v>
      </c>
      <c r="K58" s="2" t="s">
        <v>117</v>
      </c>
      <c r="L58" s="2">
        <v>0.4</v>
      </c>
      <c r="M58" s="2" t="s">
        <v>121</v>
      </c>
      <c r="N58" s="5" t="s">
        <v>114</v>
      </c>
      <c r="O58" s="2">
        <v>1968</v>
      </c>
      <c r="P58" s="2" t="b">
        <v>0</v>
      </c>
    </row>
    <row r="59" spans="1:16">
      <c r="A59" s="2" t="s">
        <v>123</v>
      </c>
      <c r="B59" s="2" t="s">
        <v>115</v>
      </c>
      <c r="C59" s="2">
        <v>204</v>
      </c>
      <c r="D59" s="2" t="b">
        <v>0</v>
      </c>
      <c r="E59" s="2" t="b">
        <v>0</v>
      </c>
      <c r="F59" s="2" t="s">
        <v>107</v>
      </c>
      <c r="G59" s="2">
        <v>20</v>
      </c>
      <c r="H59" s="2" t="s">
        <v>112</v>
      </c>
      <c r="I59" s="2" t="s">
        <v>130</v>
      </c>
      <c r="J59" s="2">
        <v>95</v>
      </c>
      <c r="K59" s="2" t="s">
        <v>117</v>
      </c>
      <c r="L59" s="2">
        <v>0.8</v>
      </c>
      <c r="M59" s="2" t="s">
        <v>121</v>
      </c>
      <c r="N59" s="5" t="s">
        <v>114</v>
      </c>
      <c r="O59" s="2">
        <v>1968</v>
      </c>
      <c r="P59" s="2" t="b">
        <v>0</v>
      </c>
    </row>
    <row r="60" spans="1:16">
      <c r="A60" s="2" t="s">
        <v>123</v>
      </c>
      <c r="B60" s="2" t="s">
        <v>126</v>
      </c>
      <c r="C60" s="2">
        <v>101</v>
      </c>
      <c r="D60" s="2" t="b">
        <v>0</v>
      </c>
      <c r="E60" s="2" t="b">
        <v>0</v>
      </c>
      <c r="F60" s="2" t="s">
        <v>107</v>
      </c>
      <c r="G60" s="2">
        <v>20</v>
      </c>
      <c r="H60" s="2" t="s">
        <v>112</v>
      </c>
      <c r="I60" s="2" t="s">
        <v>131</v>
      </c>
      <c r="J60" s="2">
        <v>120</v>
      </c>
      <c r="K60" s="2" t="s">
        <v>117</v>
      </c>
      <c r="L60" s="2">
        <v>1.1000000000000001</v>
      </c>
      <c r="M60" s="2" t="s">
        <v>121</v>
      </c>
      <c r="N60" s="5" t="s">
        <v>114</v>
      </c>
      <c r="O60" s="2">
        <v>1968</v>
      </c>
      <c r="P60" s="2" t="b">
        <v>0</v>
      </c>
    </row>
    <row r="61" spans="1:16">
      <c r="A61" s="2" t="s">
        <v>123</v>
      </c>
      <c r="B61" s="2" t="s">
        <v>118</v>
      </c>
      <c r="C61" s="2">
        <v>201</v>
      </c>
      <c r="D61" s="2" t="b">
        <v>0</v>
      </c>
      <c r="E61" s="2" t="b">
        <v>0</v>
      </c>
      <c r="F61" s="2" t="s">
        <v>107</v>
      </c>
      <c r="G61" s="2">
        <v>20</v>
      </c>
      <c r="H61" s="2" t="s">
        <v>112</v>
      </c>
      <c r="I61" s="2" t="s">
        <v>132</v>
      </c>
      <c r="J61" s="2">
        <v>150</v>
      </c>
      <c r="K61" s="2" t="s">
        <v>117</v>
      </c>
      <c r="L61" s="2">
        <v>1.4</v>
      </c>
      <c r="M61" s="2" t="s">
        <v>121</v>
      </c>
      <c r="N61" s="5" t="s">
        <v>114</v>
      </c>
      <c r="O61" s="2">
        <v>1968</v>
      </c>
      <c r="P61" s="2" t="b">
        <v>0</v>
      </c>
    </row>
    <row r="62" spans="1:16">
      <c r="A62" s="2" t="s">
        <v>16</v>
      </c>
      <c r="B62" s="2" t="s">
        <v>133</v>
      </c>
      <c r="C62" s="2">
        <v>10558</v>
      </c>
      <c r="D62" s="2" t="b">
        <v>0</v>
      </c>
      <c r="E62" s="2" t="b">
        <v>0</v>
      </c>
      <c r="F62" s="2" t="s">
        <v>33</v>
      </c>
      <c r="G62" s="2">
        <v>37</v>
      </c>
      <c r="H62" s="2" t="s">
        <v>134</v>
      </c>
      <c r="I62" s="2" t="s">
        <v>135</v>
      </c>
      <c r="J62" s="2">
        <v>111</v>
      </c>
      <c r="K62" s="2"/>
      <c r="L62" s="2">
        <v>0.84</v>
      </c>
      <c r="M62" s="2"/>
      <c r="N62" s="5" t="s">
        <v>136</v>
      </c>
      <c r="O62" s="2">
        <v>1983</v>
      </c>
      <c r="P62" s="2" t="b">
        <v>0</v>
      </c>
    </row>
    <row r="63" spans="1:16">
      <c r="A63" s="2" t="s">
        <v>16</v>
      </c>
      <c r="B63" s="2" t="s">
        <v>133</v>
      </c>
      <c r="C63" s="2">
        <v>10558</v>
      </c>
      <c r="D63" s="2" t="b">
        <v>0</v>
      </c>
      <c r="E63" s="2" t="b">
        <v>0</v>
      </c>
      <c r="F63" s="2" t="s">
        <v>19</v>
      </c>
      <c r="G63" s="2">
        <v>37</v>
      </c>
      <c r="H63" s="2" t="s">
        <v>134</v>
      </c>
      <c r="I63" s="2" t="s">
        <v>137</v>
      </c>
      <c r="J63" s="2">
        <v>327</v>
      </c>
      <c r="K63" s="2"/>
      <c r="L63" s="2">
        <v>0.83</v>
      </c>
      <c r="M63" s="2"/>
      <c r="N63" s="5" t="s">
        <v>136</v>
      </c>
      <c r="O63" s="2">
        <v>1983</v>
      </c>
      <c r="P63" s="2" t="b">
        <v>0</v>
      </c>
    </row>
    <row r="64" spans="1:16">
      <c r="A64" s="2" t="s">
        <v>16</v>
      </c>
      <c r="B64" s="2" t="s">
        <v>138</v>
      </c>
      <c r="C64" s="2" t="s">
        <v>139</v>
      </c>
      <c r="D64" s="2" t="b">
        <v>0</v>
      </c>
      <c r="E64" s="2" t="b">
        <v>0</v>
      </c>
      <c r="F64" s="2" t="s">
        <v>140</v>
      </c>
      <c r="G64" s="2"/>
      <c r="H64" s="2" t="s">
        <v>134</v>
      </c>
      <c r="I64" s="2" t="s">
        <v>141</v>
      </c>
      <c r="J64" s="2">
        <v>1583</v>
      </c>
      <c r="K64" s="2"/>
      <c r="L64" s="2">
        <v>1.2</v>
      </c>
      <c r="M64" s="2"/>
      <c r="N64" s="5" t="s">
        <v>136</v>
      </c>
      <c r="O64" s="2">
        <v>1983</v>
      </c>
      <c r="P64" s="2" t="b">
        <v>0</v>
      </c>
    </row>
    <row r="65" spans="1:16">
      <c r="A65" s="2" t="s">
        <v>16</v>
      </c>
      <c r="B65" s="2" t="s">
        <v>138</v>
      </c>
      <c r="C65" s="2" t="s">
        <v>142</v>
      </c>
      <c r="D65" s="2" t="b">
        <v>0</v>
      </c>
      <c r="E65" s="2" t="b">
        <v>0</v>
      </c>
      <c r="F65" s="2" t="s">
        <v>143</v>
      </c>
      <c r="G65" s="2"/>
      <c r="H65" s="2" t="s">
        <v>134</v>
      </c>
      <c r="I65" s="2" t="s">
        <v>144</v>
      </c>
      <c r="J65" s="2">
        <v>2172</v>
      </c>
      <c r="K65" s="2"/>
      <c r="L65" s="2">
        <v>1.5</v>
      </c>
      <c r="M65" s="2"/>
      <c r="N65" s="5" t="s">
        <v>136</v>
      </c>
      <c r="O65" s="2">
        <v>1983</v>
      </c>
      <c r="P65" s="2" t="b">
        <v>0</v>
      </c>
    </row>
    <row r="66" spans="1:16">
      <c r="A66" s="2" t="s">
        <v>16</v>
      </c>
      <c r="B66" s="2" t="s">
        <v>17</v>
      </c>
      <c r="C66" s="2" t="s">
        <v>145</v>
      </c>
      <c r="D66" s="2" t="b">
        <v>0</v>
      </c>
      <c r="E66" s="2" t="b">
        <v>0</v>
      </c>
      <c r="F66" s="2" t="s">
        <v>33</v>
      </c>
      <c r="G66" s="2">
        <v>37</v>
      </c>
      <c r="H66" s="2" t="s">
        <v>20</v>
      </c>
      <c r="I66" s="2" t="s">
        <v>146</v>
      </c>
      <c r="J66" s="2">
        <v>0.59699999999999998</v>
      </c>
      <c r="K66" s="2"/>
      <c r="L66" s="2">
        <v>0.54</v>
      </c>
      <c r="M66" s="2"/>
      <c r="N66" s="5" t="s">
        <v>147</v>
      </c>
      <c r="O66" s="2">
        <v>1982</v>
      </c>
      <c r="P66" s="2" t="b">
        <v>0</v>
      </c>
    </row>
    <row r="67" spans="1:16">
      <c r="A67" s="2" t="s">
        <v>16</v>
      </c>
      <c r="B67" s="2" t="s">
        <v>17</v>
      </c>
      <c r="C67" s="2" t="s">
        <v>145</v>
      </c>
      <c r="D67" s="2" t="b">
        <v>0</v>
      </c>
      <c r="E67" s="2" t="b">
        <v>0</v>
      </c>
      <c r="F67" s="2" t="s">
        <v>19</v>
      </c>
      <c r="G67" s="2">
        <v>37</v>
      </c>
      <c r="H67" s="2" t="s">
        <v>20</v>
      </c>
      <c r="I67" s="2" t="s">
        <v>148</v>
      </c>
      <c r="J67" s="2">
        <v>13</v>
      </c>
      <c r="K67" s="2"/>
      <c r="L67" s="2">
        <v>1.23</v>
      </c>
      <c r="M67" s="2"/>
      <c r="N67" s="5" t="s">
        <v>147</v>
      </c>
      <c r="O67" s="2">
        <v>1982</v>
      </c>
      <c r="P67" s="2" t="b">
        <v>0</v>
      </c>
    </row>
    <row r="68" spans="1:16">
      <c r="A68" s="2" t="s">
        <v>16</v>
      </c>
      <c r="B68" s="2" t="s">
        <v>17</v>
      </c>
      <c r="C68" s="2" t="s">
        <v>60</v>
      </c>
      <c r="D68" s="2" t="b">
        <v>0</v>
      </c>
      <c r="E68" s="2" t="b">
        <v>0</v>
      </c>
      <c r="F68" s="2" t="s">
        <v>33</v>
      </c>
      <c r="G68" s="2">
        <v>40</v>
      </c>
      <c r="H68" s="2" t="s">
        <v>20</v>
      </c>
      <c r="I68" s="2" t="s">
        <v>149</v>
      </c>
      <c r="J68" s="2">
        <v>0.19</v>
      </c>
      <c r="K68" s="2"/>
      <c r="L68" s="2">
        <v>0.75</v>
      </c>
      <c r="M68" s="2"/>
      <c r="N68" s="5" t="s">
        <v>150</v>
      </c>
      <c r="O68" s="2">
        <v>1996</v>
      </c>
      <c r="P68" s="2" t="b">
        <v>0</v>
      </c>
    </row>
    <row r="69" spans="1:16">
      <c r="A69" s="2" t="s">
        <v>31</v>
      </c>
      <c r="B69" s="2" t="s">
        <v>126</v>
      </c>
      <c r="C69" s="2"/>
      <c r="D69" s="2" t="b">
        <v>0</v>
      </c>
      <c r="E69" s="2" t="b">
        <v>0</v>
      </c>
      <c r="F69" s="2" t="s">
        <v>33</v>
      </c>
      <c r="G69" s="2">
        <v>25</v>
      </c>
      <c r="H69" s="2" t="s">
        <v>151</v>
      </c>
      <c r="I69" s="2" t="s">
        <v>152</v>
      </c>
      <c r="J69" s="2">
        <v>6.6000000000000003E-2</v>
      </c>
      <c r="K69" s="2"/>
      <c r="L69" s="2">
        <v>0.3</v>
      </c>
      <c r="M69" s="2" t="s">
        <v>153</v>
      </c>
      <c r="N69" s="5" t="s">
        <v>154</v>
      </c>
      <c r="O69" s="2">
        <v>1977</v>
      </c>
      <c r="P69" s="2" t="b">
        <v>0</v>
      </c>
    </row>
    <row r="70" spans="1:16">
      <c r="A70" s="2" t="s">
        <v>31</v>
      </c>
      <c r="B70" s="2" t="s">
        <v>17</v>
      </c>
      <c r="C70" s="2" t="s">
        <v>155</v>
      </c>
      <c r="D70" s="2" t="b">
        <v>0</v>
      </c>
      <c r="E70" s="2" t="b">
        <v>0</v>
      </c>
      <c r="F70" s="2" t="s">
        <v>19</v>
      </c>
      <c r="G70" s="2">
        <v>30</v>
      </c>
      <c r="H70" s="2" t="s">
        <v>20</v>
      </c>
      <c r="I70" s="2" t="s">
        <v>156</v>
      </c>
      <c r="J70" s="2">
        <v>4500</v>
      </c>
      <c r="K70" s="2"/>
      <c r="L70" s="2">
        <v>7.4999999999999997E-2</v>
      </c>
      <c r="M70" s="2"/>
      <c r="N70" s="5" t="s">
        <v>154</v>
      </c>
      <c r="O70" s="2">
        <v>1977</v>
      </c>
      <c r="P70" s="2" t="b">
        <v>0</v>
      </c>
    </row>
    <row r="71" spans="1:16">
      <c r="A71" s="2" t="s">
        <v>31</v>
      </c>
      <c r="B71" s="2" t="s">
        <v>17</v>
      </c>
      <c r="C71" s="2" t="s">
        <v>155</v>
      </c>
      <c r="D71" s="2" t="b">
        <v>0</v>
      </c>
      <c r="E71" s="2" t="b">
        <v>0</v>
      </c>
      <c r="F71" s="2" t="s">
        <v>19</v>
      </c>
      <c r="G71" s="2">
        <v>30</v>
      </c>
      <c r="H71" s="2" t="s">
        <v>20</v>
      </c>
      <c r="I71" s="2" t="s">
        <v>157</v>
      </c>
      <c r="J71" s="2">
        <v>17.350000000000001</v>
      </c>
      <c r="K71" s="2"/>
      <c r="L71" s="2">
        <v>0.69399999999999995</v>
      </c>
      <c r="M71" s="2"/>
      <c r="N71" s="5" t="s">
        <v>154</v>
      </c>
      <c r="O71" s="2">
        <v>1977</v>
      </c>
      <c r="P71" s="2" t="b">
        <v>0</v>
      </c>
    </row>
    <row r="72" spans="1:16">
      <c r="A72" s="2" t="s">
        <v>31</v>
      </c>
      <c r="B72" s="2" t="s">
        <v>158</v>
      </c>
      <c r="C72" s="2"/>
      <c r="D72" s="2" t="b">
        <v>1</v>
      </c>
      <c r="E72" s="2" t="b">
        <v>0</v>
      </c>
      <c r="F72" s="2" t="s">
        <v>33</v>
      </c>
      <c r="G72" s="2">
        <v>25</v>
      </c>
      <c r="H72" s="2" t="s">
        <v>159</v>
      </c>
      <c r="I72" s="2" t="s">
        <v>160</v>
      </c>
      <c r="J72" s="2">
        <v>8.0000000000000002E-3</v>
      </c>
      <c r="K72" s="2"/>
      <c r="L72" s="2">
        <v>4.7E-2</v>
      </c>
      <c r="M72" s="2"/>
      <c r="N72" s="5" t="s">
        <v>161</v>
      </c>
      <c r="O72" s="2">
        <v>1981</v>
      </c>
      <c r="P72" s="2" t="b">
        <v>0</v>
      </c>
    </row>
    <row r="73" spans="1:16">
      <c r="A73" s="2" t="s">
        <v>31</v>
      </c>
      <c r="B73" s="2" t="s">
        <v>162</v>
      </c>
      <c r="C73" s="2"/>
      <c r="D73" s="2" t="b">
        <v>1</v>
      </c>
      <c r="E73" s="2" t="b">
        <v>1</v>
      </c>
      <c r="F73" s="2" t="s">
        <v>33</v>
      </c>
      <c r="G73" s="2">
        <v>25</v>
      </c>
      <c r="H73" s="2" t="s">
        <v>159</v>
      </c>
      <c r="I73" s="2" t="s">
        <v>163</v>
      </c>
      <c r="J73" s="2">
        <v>0.13</v>
      </c>
      <c r="K73" s="2"/>
      <c r="L73" s="2">
        <v>8.3000000000000004E-2</v>
      </c>
      <c r="M73" s="2"/>
      <c r="N73" s="5" t="s">
        <v>161</v>
      </c>
      <c r="O73" s="2">
        <v>1981</v>
      </c>
      <c r="P73" s="2" t="b">
        <v>0</v>
      </c>
    </row>
    <row r="74" spans="1:16">
      <c r="A74" s="2" t="s">
        <v>16</v>
      </c>
      <c r="B74" s="2" t="s">
        <v>164</v>
      </c>
      <c r="C74" s="2"/>
      <c r="D74" s="2" t="b">
        <v>0</v>
      </c>
      <c r="E74" s="2" t="b">
        <v>0</v>
      </c>
      <c r="F74" s="2" t="s">
        <v>19</v>
      </c>
      <c r="G74" s="2">
        <v>25</v>
      </c>
      <c r="H74" s="2" t="s">
        <v>165</v>
      </c>
      <c r="I74" s="2" t="s">
        <v>166</v>
      </c>
      <c r="J74" s="2">
        <v>2.67</v>
      </c>
      <c r="K74" s="2"/>
      <c r="L74" s="2">
        <v>0.15</v>
      </c>
      <c r="M74" s="2"/>
      <c r="N74" s="5" t="s">
        <v>167</v>
      </c>
      <c r="O74" s="2">
        <v>1977</v>
      </c>
      <c r="P74" s="2" t="b">
        <v>0</v>
      </c>
    </row>
    <row r="75" spans="1:16">
      <c r="A75" s="2" t="s">
        <v>168</v>
      </c>
      <c r="B75" s="2" t="s">
        <v>17</v>
      </c>
      <c r="C75" s="2"/>
      <c r="D75" s="2" t="b">
        <v>0</v>
      </c>
      <c r="E75" s="2" t="b">
        <v>0</v>
      </c>
      <c r="F75" s="2" t="s">
        <v>33</v>
      </c>
      <c r="G75" s="2"/>
      <c r="H75" s="2" t="s">
        <v>169</v>
      </c>
      <c r="I75" s="2" t="s">
        <v>170</v>
      </c>
      <c r="J75" s="2">
        <v>0.69399999999999995</v>
      </c>
      <c r="K75" s="2"/>
      <c r="L75" s="2">
        <v>0.7</v>
      </c>
      <c r="M75" s="2"/>
      <c r="N75" s="5" t="s">
        <v>171</v>
      </c>
      <c r="O75" s="2">
        <v>1998</v>
      </c>
      <c r="P75" s="2" t="b">
        <v>0</v>
      </c>
    </row>
    <row r="76" spans="1:16">
      <c r="A76" s="2" t="s">
        <v>172</v>
      </c>
      <c r="B76" s="2" t="s">
        <v>17</v>
      </c>
      <c r="C76" s="2" t="s">
        <v>173</v>
      </c>
      <c r="D76" s="2" t="b">
        <v>0</v>
      </c>
      <c r="E76" s="2" t="b">
        <v>0</v>
      </c>
      <c r="F76" s="2" t="s">
        <v>33</v>
      </c>
      <c r="G76" s="2">
        <v>37</v>
      </c>
      <c r="H76" s="2" t="s">
        <v>169</v>
      </c>
      <c r="I76" s="2" t="s">
        <v>174</v>
      </c>
      <c r="J76" s="2">
        <v>0.97899999999999998</v>
      </c>
      <c r="K76" s="2"/>
      <c r="L76" s="2">
        <v>0.73</v>
      </c>
      <c r="M76" s="2"/>
      <c r="N76" s="5" t="s">
        <v>175</v>
      </c>
      <c r="O76" s="2">
        <v>1994</v>
      </c>
      <c r="P76" s="2" t="b">
        <v>0</v>
      </c>
    </row>
    <row r="77" spans="1:16">
      <c r="A77" s="2" t="s">
        <v>76</v>
      </c>
      <c r="B77" s="2" t="s">
        <v>17</v>
      </c>
      <c r="C77" s="2" t="s">
        <v>176</v>
      </c>
      <c r="D77" s="2" t="b">
        <v>0</v>
      </c>
      <c r="E77" s="2" t="b">
        <v>0</v>
      </c>
      <c r="F77" s="2" t="s">
        <v>19</v>
      </c>
      <c r="G77" s="2"/>
      <c r="H77" s="2" t="s">
        <v>177</v>
      </c>
      <c r="I77" s="2" t="s">
        <v>178</v>
      </c>
      <c r="J77" s="2">
        <v>2</v>
      </c>
      <c r="K77" s="2"/>
      <c r="L77" s="2"/>
      <c r="M77" s="2"/>
      <c r="N77" s="5" t="s">
        <v>179</v>
      </c>
      <c r="O77" s="2">
        <v>1968</v>
      </c>
      <c r="P77" s="2" t="b">
        <v>0</v>
      </c>
    </row>
    <row r="78" spans="1:16">
      <c r="A78" s="2" t="s">
        <v>25</v>
      </c>
      <c r="B78" s="2" t="s">
        <v>26</v>
      </c>
      <c r="C78" s="2"/>
      <c r="D78" s="2" t="b">
        <v>1</v>
      </c>
      <c r="E78" s="2" t="b">
        <v>1</v>
      </c>
      <c r="F78" s="2" t="s">
        <v>19</v>
      </c>
      <c r="G78" s="2">
        <v>15</v>
      </c>
      <c r="H78" s="2" t="s">
        <v>28</v>
      </c>
      <c r="I78" s="2" t="s">
        <v>180</v>
      </c>
      <c r="J78" s="2">
        <v>1.03</v>
      </c>
      <c r="K78" s="2"/>
      <c r="L78" s="2">
        <v>4.8000000000000001E-2</v>
      </c>
      <c r="M78" s="2"/>
      <c r="N78" s="5" t="s">
        <v>181</v>
      </c>
      <c r="O78" s="2">
        <v>1982</v>
      </c>
      <c r="P78" s="2" t="b">
        <v>0</v>
      </c>
    </row>
    <row r="79" spans="1:16">
      <c r="A79" s="2" t="s">
        <v>25</v>
      </c>
      <c r="B79" s="2" t="s">
        <v>26</v>
      </c>
      <c r="C79" s="2"/>
      <c r="D79" s="2" t="b">
        <v>1</v>
      </c>
      <c r="E79" s="2" t="b">
        <v>1</v>
      </c>
      <c r="F79" s="2" t="s">
        <v>19</v>
      </c>
      <c r="G79" s="2">
        <v>20</v>
      </c>
      <c r="H79" s="2" t="s">
        <v>28</v>
      </c>
      <c r="I79" s="2" t="s">
        <v>182</v>
      </c>
      <c r="J79" s="2">
        <v>0.88</v>
      </c>
      <c r="K79" s="2"/>
      <c r="L79" s="2">
        <v>4.5000000000000012E-2</v>
      </c>
      <c r="M79" s="2"/>
      <c r="N79" s="5" t="s">
        <v>181</v>
      </c>
      <c r="O79" s="2">
        <v>1982</v>
      </c>
      <c r="P79" s="2" t="b">
        <v>0</v>
      </c>
    </row>
    <row r="80" spans="1:16">
      <c r="A80" s="2" t="s">
        <v>25</v>
      </c>
      <c r="B80" s="2" t="s">
        <v>26</v>
      </c>
      <c r="C80" s="2"/>
      <c r="D80" s="2" t="b">
        <v>1</v>
      </c>
      <c r="E80" s="2" t="b">
        <v>1</v>
      </c>
      <c r="F80" s="2" t="s">
        <v>27</v>
      </c>
      <c r="G80" s="2">
        <v>10</v>
      </c>
      <c r="H80" s="2" t="s">
        <v>28</v>
      </c>
      <c r="I80" s="2" t="s">
        <v>183</v>
      </c>
      <c r="J80" s="2">
        <v>0.68</v>
      </c>
      <c r="K80" s="2"/>
      <c r="L80" s="2">
        <v>3.5999999999999997E-2</v>
      </c>
      <c r="M80" s="2"/>
      <c r="N80" s="5" t="s">
        <v>181</v>
      </c>
      <c r="O80" s="2">
        <v>1982</v>
      </c>
      <c r="P80" s="2" t="b">
        <v>0</v>
      </c>
    </row>
    <row r="81" spans="1:16">
      <c r="A81" s="2" t="s">
        <v>25</v>
      </c>
      <c r="B81" s="2" t="s">
        <v>26</v>
      </c>
      <c r="C81" s="2"/>
      <c r="D81" s="2" t="b">
        <v>1</v>
      </c>
      <c r="E81" s="2" t="b">
        <v>1</v>
      </c>
      <c r="F81" s="2" t="s">
        <v>27</v>
      </c>
      <c r="G81" s="2">
        <v>20</v>
      </c>
      <c r="H81" s="2" t="s">
        <v>28</v>
      </c>
      <c r="I81" s="2" t="s">
        <v>184</v>
      </c>
      <c r="J81" s="2">
        <v>1.24</v>
      </c>
      <c r="K81" s="2"/>
      <c r="L81" s="2">
        <v>5.3999999999999999E-2</v>
      </c>
      <c r="M81" s="2"/>
      <c r="N81" s="5" t="s">
        <v>181</v>
      </c>
      <c r="O81" s="2">
        <v>1982</v>
      </c>
      <c r="P81" s="2" t="b">
        <v>0</v>
      </c>
    </row>
    <row r="82" spans="1:16">
      <c r="A82" s="2" t="s">
        <v>16</v>
      </c>
      <c r="B82" s="2" t="s">
        <v>17</v>
      </c>
      <c r="C82" s="2" t="s">
        <v>185</v>
      </c>
      <c r="D82" s="2" t="b">
        <v>0</v>
      </c>
      <c r="E82" s="2" t="b">
        <v>0</v>
      </c>
      <c r="F82" s="2" t="s">
        <v>19</v>
      </c>
      <c r="G82" s="2">
        <v>37</v>
      </c>
      <c r="H82" s="2" t="s">
        <v>20</v>
      </c>
      <c r="I82" s="2" t="s">
        <v>186</v>
      </c>
      <c r="J82" s="2">
        <v>22</v>
      </c>
      <c r="K82" s="2"/>
      <c r="L82" s="2">
        <v>0.94</v>
      </c>
      <c r="M82" s="2"/>
      <c r="N82" s="5" t="s">
        <v>187</v>
      </c>
      <c r="O82" s="2">
        <v>1942</v>
      </c>
      <c r="P82" s="2" t="b">
        <v>0</v>
      </c>
    </row>
    <row r="83" spans="1:16">
      <c r="A83" s="2" t="s">
        <v>188</v>
      </c>
      <c r="B83" s="2" t="s">
        <v>17</v>
      </c>
      <c r="C83" s="2" t="s">
        <v>189</v>
      </c>
      <c r="D83" s="2" t="b">
        <v>0</v>
      </c>
      <c r="E83" s="2" t="b">
        <v>0</v>
      </c>
      <c r="F83" s="2" t="s">
        <v>19</v>
      </c>
      <c r="G83" s="2"/>
      <c r="H83" s="2" t="s">
        <v>190</v>
      </c>
      <c r="I83" s="2" t="s">
        <v>191</v>
      </c>
      <c r="J83" s="2">
        <v>5.0000000000000001E-3</v>
      </c>
      <c r="K83" s="2"/>
      <c r="L83" s="2">
        <v>0.6</v>
      </c>
      <c r="M83" s="2"/>
      <c r="N83" s="5" t="s">
        <v>192</v>
      </c>
      <c r="O83" s="2">
        <v>1950</v>
      </c>
      <c r="P83" s="2" t="b">
        <v>0</v>
      </c>
    </row>
    <row r="84" spans="1:16">
      <c r="A84" s="2" t="s">
        <v>188</v>
      </c>
      <c r="B84" s="2" t="s">
        <v>17</v>
      </c>
      <c r="C84" s="2" t="s">
        <v>193</v>
      </c>
      <c r="D84" s="2" t="b">
        <v>0</v>
      </c>
      <c r="E84" s="2" t="b">
        <v>0</v>
      </c>
      <c r="F84" s="2" t="s">
        <v>19</v>
      </c>
      <c r="G84" s="2"/>
      <c r="H84" s="2" t="s">
        <v>190</v>
      </c>
      <c r="I84" s="2" t="s">
        <v>194</v>
      </c>
      <c r="J84" s="2">
        <v>3.4000000000000002E-2</v>
      </c>
      <c r="K84" s="2"/>
      <c r="L84" s="2">
        <v>0.6</v>
      </c>
      <c r="M84" s="2"/>
      <c r="N84" s="5" t="s">
        <v>192</v>
      </c>
      <c r="O84" s="2">
        <v>1950</v>
      </c>
      <c r="P84" s="2" t="b">
        <v>0</v>
      </c>
    </row>
    <row r="85" spans="1:16">
      <c r="A85" s="2" t="s">
        <v>25</v>
      </c>
      <c r="B85" s="2" t="s">
        <v>195</v>
      </c>
      <c r="C85" s="2"/>
      <c r="D85" s="2" t="b">
        <v>1</v>
      </c>
      <c r="E85" s="2" t="b">
        <v>1</v>
      </c>
      <c r="F85" s="2" t="s">
        <v>19</v>
      </c>
      <c r="G85" s="2">
        <v>3</v>
      </c>
      <c r="H85" s="2" t="s">
        <v>196</v>
      </c>
      <c r="I85" s="2" t="s">
        <v>197</v>
      </c>
      <c r="J85" s="2">
        <v>0.09</v>
      </c>
      <c r="K85" s="2"/>
      <c r="L85" s="2">
        <v>0.11</v>
      </c>
      <c r="M85" s="2"/>
      <c r="N85" s="5" t="s">
        <v>198</v>
      </c>
      <c r="O85" s="2">
        <v>1973</v>
      </c>
      <c r="P85" s="2" t="b">
        <v>0</v>
      </c>
    </row>
    <row r="86" spans="1:16">
      <c r="A86" s="2" t="s">
        <v>25</v>
      </c>
      <c r="B86" s="2" t="s">
        <v>195</v>
      </c>
      <c r="C86" s="2"/>
      <c r="D86" s="2" t="b">
        <v>1</v>
      </c>
      <c r="E86" s="2" t="b">
        <v>1</v>
      </c>
      <c r="F86" s="2" t="s">
        <v>19</v>
      </c>
      <c r="G86" s="2">
        <v>10</v>
      </c>
      <c r="H86" s="2" t="s">
        <v>196</v>
      </c>
      <c r="I86" s="2" t="s">
        <v>199</v>
      </c>
      <c r="J86" s="2">
        <v>0.02</v>
      </c>
      <c r="K86" s="2"/>
      <c r="L86" s="2">
        <v>0.12</v>
      </c>
      <c r="M86" s="2"/>
      <c r="N86" s="5" t="s">
        <v>198</v>
      </c>
      <c r="O86" s="2">
        <v>1973</v>
      </c>
      <c r="P86" s="2" t="b">
        <v>0</v>
      </c>
    </row>
    <row r="87" spans="1:16">
      <c r="A87" s="2" t="s">
        <v>97</v>
      </c>
      <c r="B87" s="2" t="s">
        <v>200</v>
      </c>
      <c r="C87" s="2" t="s">
        <v>201</v>
      </c>
      <c r="D87" s="2" t="b">
        <v>0</v>
      </c>
      <c r="E87" s="2" t="b">
        <v>1</v>
      </c>
      <c r="F87" s="2" t="s">
        <v>19</v>
      </c>
      <c r="G87" s="2">
        <v>30</v>
      </c>
      <c r="H87" s="2" t="s">
        <v>202</v>
      </c>
      <c r="I87" s="2" t="s">
        <v>203</v>
      </c>
      <c r="J87" s="2">
        <v>6000</v>
      </c>
      <c r="K87" s="2"/>
      <c r="L87" s="2">
        <v>0.71</v>
      </c>
      <c r="M87" s="2" t="s">
        <v>204</v>
      </c>
      <c r="N87" s="5" t="s">
        <v>205</v>
      </c>
      <c r="O87" s="2">
        <v>2007</v>
      </c>
      <c r="P87" s="2" t="b">
        <v>0</v>
      </c>
    </row>
    <row r="88" spans="1:16">
      <c r="A88" s="2" t="s">
        <v>16</v>
      </c>
      <c r="B88" s="2" t="s">
        <v>200</v>
      </c>
      <c r="C88" s="2" t="s">
        <v>201</v>
      </c>
      <c r="D88" s="2" t="b">
        <v>0</v>
      </c>
      <c r="E88" s="2" t="b">
        <v>1</v>
      </c>
      <c r="F88" s="2" t="s">
        <v>33</v>
      </c>
      <c r="G88" s="2">
        <v>30</v>
      </c>
      <c r="H88" s="2" t="s">
        <v>206</v>
      </c>
      <c r="I88" s="2" t="s">
        <v>207</v>
      </c>
      <c r="J88" s="2">
        <v>2500</v>
      </c>
      <c r="K88" s="2"/>
      <c r="L88" s="2">
        <v>0.37</v>
      </c>
      <c r="M88" s="2"/>
      <c r="N88" s="5" t="s">
        <v>205</v>
      </c>
      <c r="O88" s="2">
        <v>2007</v>
      </c>
      <c r="P88" s="2" t="b">
        <v>0</v>
      </c>
    </row>
    <row r="89" spans="1:16">
      <c r="A89" s="2" t="s">
        <v>16</v>
      </c>
      <c r="B89" s="2" t="s">
        <v>200</v>
      </c>
      <c r="C89" s="2"/>
      <c r="D89" s="2" t="b">
        <v>0</v>
      </c>
      <c r="E89" s="2" t="b">
        <v>1</v>
      </c>
      <c r="F89" s="2" t="s">
        <v>19</v>
      </c>
      <c r="G89" s="2">
        <v>30</v>
      </c>
      <c r="H89" s="2" t="s">
        <v>202</v>
      </c>
      <c r="I89" s="2" t="s">
        <v>208</v>
      </c>
      <c r="J89" s="2">
        <v>26000</v>
      </c>
      <c r="K89" s="2"/>
      <c r="L89" s="2">
        <v>0.34</v>
      </c>
      <c r="M89" s="2" t="s">
        <v>209</v>
      </c>
      <c r="N89" s="5" t="s">
        <v>205</v>
      </c>
      <c r="O89" s="2">
        <v>2007</v>
      </c>
      <c r="P89" s="2" t="b">
        <v>0</v>
      </c>
    </row>
    <row r="90" spans="1:16">
      <c r="A90" s="2" t="s">
        <v>210</v>
      </c>
      <c r="B90" s="2" t="s">
        <v>211</v>
      </c>
      <c r="C90" s="2" t="s">
        <v>212</v>
      </c>
      <c r="D90" s="2" t="b">
        <v>0</v>
      </c>
      <c r="E90" s="2" t="b">
        <v>1</v>
      </c>
      <c r="F90" s="2" t="s">
        <v>213</v>
      </c>
      <c r="G90" s="2"/>
      <c r="H90" s="2"/>
      <c r="I90" s="2" t="s">
        <v>84</v>
      </c>
      <c r="J90" s="2">
        <v>2.8</v>
      </c>
      <c r="K90" s="2"/>
      <c r="L90" s="2"/>
      <c r="M90" s="2" t="s">
        <v>214</v>
      </c>
      <c r="N90" s="5" t="s">
        <v>215</v>
      </c>
      <c r="O90" s="2">
        <v>1975</v>
      </c>
      <c r="P90" s="2" t="b">
        <v>0</v>
      </c>
    </row>
    <row r="91" spans="1:16">
      <c r="A91" s="2" t="s">
        <v>16</v>
      </c>
      <c r="B91" s="2" t="s">
        <v>200</v>
      </c>
      <c r="C91" s="2" t="s">
        <v>216</v>
      </c>
      <c r="D91" s="2" t="b">
        <v>0</v>
      </c>
      <c r="E91" s="2" t="b">
        <v>1</v>
      </c>
      <c r="F91" s="2" t="s">
        <v>33</v>
      </c>
      <c r="G91" s="2"/>
      <c r="H91" s="2" t="s">
        <v>217</v>
      </c>
      <c r="I91" s="2" t="s">
        <v>218</v>
      </c>
      <c r="J91" s="2">
        <v>110</v>
      </c>
      <c r="K91" s="2"/>
      <c r="L91" s="2">
        <v>0.5</v>
      </c>
      <c r="M91" s="2" t="s">
        <v>219</v>
      </c>
      <c r="N91" s="5" t="s">
        <v>220</v>
      </c>
      <c r="O91" s="2">
        <v>1989</v>
      </c>
      <c r="P91" s="2" t="b">
        <v>0</v>
      </c>
    </row>
    <row r="92" spans="1:16">
      <c r="A92" s="2" t="s">
        <v>16</v>
      </c>
      <c r="B92" s="2" t="s">
        <v>200</v>
      </c>
      <c r="C92" s="2" t="s">
        <v>216</v>
      </c>
      <c r="D92" s="2" t="b">
        <v>0</v>
      </c>
      <c r="E92" s="2" t="b">
        <v>1</v>
      </c>
      <c r="F92" s="2" t="s">
        <v>33</v>
      </c>
      <c r="G92" s="2"/>
      <c r="H92" s="2" t="s">
        <v>221</v>
      </c>
      <c r="I92" s="2" t="s">
        <v>222</v>
      </c>
      <c r="J92" s="2">
        <v>390</v>
      </c>
      <c r="K92" s="2"/>
      <c r="L92" s="2">
        <v>0.5</v>
      </c>
      <c r="M92" s="2" t="s">
        <v>219</v>
      </c>
      <c r="N92" s="5" t="s">
        <v>220</v>
      </c>
      <c r="O92" s="2">
        <v>1989</v>
      </c>
      <c r="P92" s="2" t="b">
        <v>0</v>
      </c>
    </row>
    <row r="93" spans="1:16">
      <c r="A93" s="2" t="s">
        <v>31</v>
      </c>
      <c r="B93" s="2" t="s">
        <v>68</v>
      </c>
      <c r="C93" s="2"/>
      <c r="D93" s="2" t="b">
        <v>0</v>
      </c>
      <c r="E93" s="2" t="b">
        <v>1</v>
      </c>
      <c r="F93" s="2" t="s">
        <v>33</v>
      </c>
      <c r="G93" s="2">
        <v>25</v>
      </c>
      <c r="H93" s="2" t="s">
        <v>169</v>
      </c>
      <c r="I93" s="2" t="s">
        <v>223</v>
      </c>
      <c r="J93" s="2">
        <v>1.2E-2</v>
      </c>
      <c r="K93" s="2"/>
      <c r="L93" s="2">
        <v>0.18</v>
      </c>
      <c r="M93" s="2"/>
      <c r="N93" s="5" t="s">
        <v>224</v>
      </c>
      <c r="O93" s="2">
        <v>1979</v>
      </c>
      <c r="P93" s="2" t="b">
        <v>0</v>
      </c>
    </row>
    <row r="94" spans="1:16">
      <c r="A94" s="2" t="s">
        <v>25</v>
      </c>
      <c r="B94" s="2" t="s">
        <v>225</v>
      </c>
      <c r="C94" s="2"/>
      <c r="D94" s="2" t="b">
        <v>1</v>
      </c>
      <c r="E94" s="2" t="b">
        <v>1</v>
      </c>
      <c r="F94" s="2" t="s">
        <v>19</v>
      </c>
      <c r="G94" s="2"/>
      <c r="H94" s="2" t="s">
        <v>226</v>
      </c>
      <c r="I94" s="2" t="s">
        <v>82</v>
      </c>
      <c r="J94" s="2">
        <v>10</v>
      </c>
      <c r="K94" s="2"/>
      <c r="L94" s="2">
        <v>0.03</v>
      </c>
      <c r="M94" s="2"/>
      <c r="N94" s="5" t="s">
        <v>227</v>
      </c>
      <c r="O94" s="2">
        <v>1983</v>
      </c>
      <c r="P94" s="2" t="b">
        <v>0</v>
      </c>
    </row>
    <row r="95" spans="1:16">
      <c r="A95" s="2" t="s">
        <v>16</v>
      </c>
      <c r="B95" s="2" t="s">
        <v>17</v>
      </c>
      <c r="C95" s="2"/>
      <c r="D95" s="2" t="b">
        <v>0</v>
      </c>
      <c r="E95" s="2" t="b">
        <v>0</v>
      </c>
      <c r="F95" s="2" t="s">
        <v>33</v>
      </c>
      <c r="G95" s="2">
        <v>30</v>
      </c>
      <c r="H95" s="2" t="s">
        <v>20</v>
      </c>
      <c r="I95" s="2" t="s">
        <v>228</v>
      </c>
      <c r="J95" s="2">
        <v>480</v>
      </c>
      <c r="K95" s="2"/>
      <c r="L95" s="2">
        <v>0.98499999999999999</v>
      </c>
      <c r="M95" s="2" t="s">
        <v>229</v>
      </c>
      <c r="N95" s="5" t="s">
        <v>230</v>
      </c>
      <c r="O95" s="2">
        <v>1964</v>
      </c>
      <c r="P95" s="2" t="b">
        <v>0</v>
      </c>
    </row>
    <row r="96" spans="1:16">
      <c r="A96" s="2" t="s">
        <v>16</v>
      </c>
      <c r="B96" s="2" t="s">
        <v>17</v>
      </c>
      <c r="C96" s="2" t="s">
        <v>60</v>
      </c>
      <c r="D96" s="2" t="b">
        <v>0</v>
      </c>
      <c r="E96" s="2" t="b">
        <v>0</v>
      </c>
      <c r="F96" s="2" t="s">
        <v>33</v>
      </c>
      <c r="G96" s="2">
        <v>37</v>
      </c>
      <c r="H96" s="2" t="s">
        <v>20</v>
      </c>
      <c r="I96" s="2" t="s">
        <v>231</v>
      </c>
      <c r="J96" s="2">
        <v>0.3</v>
      </c>
      <c r="K96" s="2"/>
      <c r="L96" s="2">
        <v>0.8</v>
      </c>
      <c r="M96" s="2"/>
      <c r="N96" s="5" t="s">
        <v>232</v>
      </c>
      <c r="O96" s="2">
        <v>1994</v>
      </c>
      <c r="P96" s="2" t="b">
        <v>0</v>
      </c>
    </row>
    <row r="97" spans="1:16">
      <c r="A97" s="2" t="s">
        <v>16</v>
      </c>
      <c r="B97" s="2" t="s">
        <v>17</v>
      </c>
      <c r="C97" s="2" t="s">
        <v>60</v>
      </c>
      <c r="D97" s="2" t="b">
        <v>0</v>
      </c>
      <c r="E97" s="2" t="b">
        <v>0</v>
      </c>
      <c r="F97" s="2" t="s">
        <v>33</v>
      </c>
      <c r="G97" s="2">
        <v>37</v>
      </c>
      <c r="H97" s="2" t="s">
        <v>20</v>
      </c>
      <c r="I97" s="2" t="s">
        <v>233</v>
      </c>
      <c r="J97" s="2">
        <v>0.4</v>
      </c>
      <c r="K97" s="2"/>
      <c r="L97" s="2">
        <v>0.92</v>
      </c>
      <c r="M97" s="2"/>
      <c r="N97" s="5" t="s">
        <v>232</v>
      </c>
      <c r="O97" s="2">
        <v>1994</v>
      </c>
      <c r="P97" s="2" t="b">
        <v>0</v>
      </c>
    </row>
    <row r="98" spans="1:16">
      <c r="A98" s="2" t="s">
        <v>188</v>
      </c>
      <c r="B98" s="2" t="s">
        <v>17</v>
      </c>
      <c r="C98" s="2" t="s">
        <v>60</v>
      </c>
      <c r="D98" s="2" t="b">
        <v>0</v>
      </c>
      <c r="E98" s="2" t="b">
        <v>0</v>
      </c>
      <c r="F98" s="2" t="s">
        <v>19</v>
      </c>
      <c r="G98" s="2">
        <v>30</v>
      </c>
      <c r="H98" s="2" t="s">
        <v>20</v>
      </c>
      <c r="I98" s="2" t="s">
        <v>234</v>
      </c>
      <c r="J98" s="2">
        <v>60</v>
      </c>
      <c r="K98" s="2"/>
      <c r="L98" s="2">
        <v>0.185</v>
      </c>
      <c r="M98" s="2"/>
      <c r="N98" s="5" t="s">
        <v>235</v>
      </c>
      <c r="O98" s="2">
        <v>1971</v>
      </c>
      <c r="P98" s="2" t="b">
        <v>0</v>
      </c>
    </row>
    <row r="99" spans="1:16">
      <c r="A99" s="2" t="s">
        <v>188</v>
      </c>
      <c r="B99" s="2" t="s">
        <v>17</v>
      </c>
      <c r="C99" s="2" t="s">
        <v>60</v>
      </c>
      <c r="D99" s="2" t="b">
        <v>0</v>
      </c>
      <c r="E99" s="2" t="b">
        <v>0</v>
      </c>
      <c r="F99" s="2" t="s">
        <v>19</v>
      </c>
      <c r="G99" s="2">
        <v>30</v>
      </c>
      <c r="H99" s="2" t="s">
        <v>20</v>
      </c>
      <c r="I99" s="2" t="s">
        <v>194</v>
      </c>
      <c r="J99" s="2">
        <v>3.4000000000000002E-2</v>
      </c>
      <c r="K99" s="2"/>
      <c r="L99" s="2">
        <v>0.55600000000000005</v>
      </c>
      <c r="M99" s="2"/>
      <c r="N99" s="5" t="s">
        <v>235</v>
      </c>
      <c r="O99" s="2">
        <v>1971</v>
      </c>
      <c r="P99" s="2" t="b">
        <v>0</v>
      </c>
    </row>
    <row r="100" spans="1:16">
      <c r="A100" s="2" t="s">
        <v>16</v>
      </c>
      <c r="B100" s="2" t="s">
        <v>17</v>
      </c>
      <c r="C100" s="2" t="s">
        <v>155</v>
      </c>
      <c r="D100" s="2" t="b">
        <v>0</v>
      </c>
      <c r="E100" s="2" t="b">
        <v>0</v>
      </c>
      <c r="F100" s="2" t="s">
        <v>19</v>
      </c>
      <c r="G100" s="2">
        <v>30</v>
      </c>
      <c r="H100" s="2" t="s">
        <v>20</v>
      </c>
      <c r="I100" s="2" t="s">
        <v>236</v>
      </c>
      <c r="J100" s="2">
        <v>0.38</v>
      </c>
      <c r="K100" s="2"/>
      <c r="L100" s="2">
        <v>0.78</v>
      </c>
      <c r="M100" s="2" t="s">
        <v>24</v>
      </c>
      <c r="N100" s="5" t="s">
        <v>237</v>
      </c>
      <c r="O100" s="2">
        <v>1971</v>
      </c>
      <c r="P100" s="2" t="b">
        <v>0</v>
      </c>
    </row>
    <row r="101" spans="1:16">
      <c r="A101" s="2" t="s">
        <v>102</v>
      </c>
      <c r="B101" s="2" t="s">
        <v>238</v>
      </c>
      <c r="C101" s="2" t="s">
        <v>239</v>
      </c>
      <c r="D101" s="2" t="b">
        <v>0</v>
      </c>
      <c r="E101" s="2" t="b">
        <v>1</v>
      </c>
      <c r="F101" s="2" t="s">
        <v>33</v>
      </c>
      <c r="G101" s="2">
        <v>35</v>
      </c>
      <c r="H101" s="2"/>
      <c r="I101" s="2" t="s">
        <v>240</v>
      </c>
      <c r="J101" s="2">
        <v>50</v>
      </c>
      <c r="K101" s="2"/>
      <c r="L101" s="2">
        <v>0.01</v>
      </c>
      <c r="M101" s="2"/>
      <c r="N101" s="5" t="s">
        <v>241</v>
      </c>
      <c r="O101" s="2">
        <v>1975</v>
      </c>
      <c r="P101" s="2" t="b">
        <v>0</v>
      </c>
    </row>
    <row r="102" spans="1:16">
      <c r="A102" s="2" t="s">
        <v>242</v>
      </c>
      <c r="B102" s="2" t="s">
        <v>238</v>
      </c>
      <c r="C102" s="2" t="s">
        <v>239</v>
      </c>
      <c r="D102" s="2" t="b">
        <v>0</v>
      </c>
      <c r="E102" s="2" t="b">
        <v>1</v>
      </c>
      <c r="F102" s="2" t="s">
        <v>33</v>
      </c>
      <c r="G102" s="2"/>
      <c r="H102" s="2" t="s">
        <v>20</v>
      </c>
      <c r="I102" s="2" t="s">
        <v>46</v>
      </c>
      <c r="J102" s="2">
        <v>2.6</v>
      </c>
      <c r="K102" s="2"/>
      <c r="L102" s="2">
        <v>0.01</v>
      </c>
      <c r="M102" s="2"/>
      <c r="N102" s="5" t="s">
        <v>241</v>
      </c>
      <c r="O102" s="2">
        <v>1975</v>
      </c>
      <c r="P102" s="2" t="b">
        <v>0</v>
      </c>
    </row>
    <row r="103" spans="1:16">
      <c r="A103" s="2" t="s">
        <v>16</v>
      </c>
      <c r="B103" s="2" t="s">
        <v>200</v>
      </c>
      <c r="C103" s="2" t="s">
        <v>243</v>
      </c>
      <c r="D103" s="2" t="b">
        <v>0</v>
      </c>
      <c r="E103" s="2" t="b">
        <v>1</v>
      </c>
      <c r="F103" s="2" t="s">
        <v>33</v>
      </c>
      <c r="G103" s="2">
        <v>30</v>
      </c>
      <c r="H103" s="2" t="s">
        <v>244</v>
      </c>
      <c r="I103" s="2" t="s">
        <v>245</v>
      </c>
      <c r="J103" s="2">
        <v>120</v>
      </c>
      <c r="K103" s="2" t="s">
        <v>246</v>
      </c>
      <c r="L103" s="2">
        <v>0.51</v>
      </c>
      <c r="M103" s="2"/>
      <c r="N103" s="5" t="s">
        <v>247</v>
      </c>
      <c r="O103" s="2">
        <v>2009</v>
      </c>
      <c r="P103" s="2" t="b">
        <v>0</v>
      </c>
    </row>
    <row r="104" spans="1:16">
      <c r="A104" s="2" t="s">
        <v>71</v>
      </c>
      <c r="B104" s="2" t="s">
        <v>248</v>
      </c>
      <c r="C104" s="2" t="s">
        <v>249</v>
      </c>
      <c r="D104" s="2" t="b">
        <v>1</v>
      </c>
      <c r="E104" s="2" t="b">
        <v>1</v>
      </c>
      <c r="F104" s="2" t="s">
        <v>250</v>
      </c>
      <c r="G104" s="2"/>
      <c r="H104" s="2" t="s">
        <v>251</v>
      </c>
      <c r="I104" s="2" t="s">
        <v>73</v>
      </c>
      <c r="J104" s="2">
        <v>0.3</v>
      </c>
      <c r="K104" s="2"/>
      <c r="L104" s="2">
        <v>1.6E-2</v>
      </c>
      <c r="M104" s="2"/>
      <c r="N104" s="5" t="s">
        <v>252</v>
      </c>
      <c r="O104" s="2">
        <v>1986</v>
      </c>
      <c r="P104" s="2" t="b">
        <v>0</v>
      </c>
    </row>
    <row r="105" spans="1:16">
      <c r="A105" s="2" t="s">
        <v>71</v>
      </c>
      <c r="B105" s="2" t="s">
        <v>253</v>
      </c>
      <c r="C105" s="2" t="s">
        <v>249</v>
      </c>
      <c r="D105" s="2" t="b">
        <v>1</v>
      </c>
      <c r="E105" s="2" t="b">
        <v>1</v>
      </c>
      <c r="F105" s="2" t="s">
        <v>250</v>
      </c>
      <c r="G105" s="2"/>
      <c r="H105" s="2" t="s">
        <v>251</v>
      </c>
      <c r="I105" s="2" t="s">
        <v>254</v>
      </c>
      <c r="J105" s="2">
        <v>0.8</v>
      </c>
      <c r="K105" s="2"/>
      <c r="L105" s="2">
        <v>2.3E-2</v>
      </c>
      <c r="M105" s="2"/>
      <c r="N105" s="5" t="s">
        <v>252</v>
      </c>
      <c r="O105" s="2">
        <v>1986</v>
      </c>
      <c r="P105" s="2" t="b">
        <v>0</v>
      </c>
    </row>
    <row r="106" spans="1:16">
      <c r="A106" s="2" t="s">
        <v>71</v>
      </c>
      <c r="B106" s="2" t="s">
        <v>255</v>
      </c>
      <c r="C106" s="2" t="s">
        <v>249</v>
      </c>
      <c r="D106" s="2" t="b">
        <v>1</v>
      </c>
      <c r="E106" s="2" t="b">
        <v>1</v>
      </c>
      <c r="F106" s="2" t="s">
        <v>250</v>
      </c>
      <c r="G106" s="2"/>
      <c r="H106" s="2" t="s">
        <v>251</v>
      </c>
      <c r="I106" s="2" t="s">
        <v>256</v>
      </c>
      <c r="J106" s="2">
        <v>0.9</v>
      </c>
      <c r="K106" s="2"/>
      <c r="L106" s="2">
        <v>1.7999999999999999E-2</v>
      </c>
      <c r="M106" s="2"/>
      <c r="N106" s="5" t="s">
        <v>252</v>
      </c>
      <c r="O106" s="2">
        <v>1986</v>
      </c>
      <c r="P106" s="2" t="b">
        <v>0</v>
      </c>
    </row>
    <row r="107" spans="1:16">
      <c r="A107" s="2" t="s">
        <v>71</v>
      </c>
      <c r="B107" s="2" t="s">
        <v>257</v>
      </c>
      <c r="C107" s="2" t="s">
        <v>249</v>
      </c>
      <c r="D107" s="2" t="b">
        <v>1</v>
      </c>
      <c r="E107" s="2" t="b">
        <v>1</v>
      </c>
      <c r="F107" s="2" t="s">
        <v>250</v>
      </c>
      <c r="G107" s="2"/>
      <c r="H107" s="2" t="s">
        <v>251</v>
      </c>
      <c r="I107" s="2" t="s">
        <v>258</v>
      </c>
      <c r="J107" s="2">
        <v>1.4</v>
      </c>
      <c r="K107" s="2"/>
      <c r="L107" s="2">
        <v>2.1999999999999999E-2</v>
      </c>
      <c r="M107" s="2"/>
      <c r="N107" s="5" t="s">
        <v>252</v>
      </c>
      <c r="O107" s="2">
        <v>1986</v>
      </c>
      <c r="P107" s="2" t="b">
        <v>0</v>
      </c>
    </row>
    <row r="108" spans="1:16">
      <c r="A108" s="2" t="s">
        <v>71</v>
      </c>
      <c r="B108" s="2" t="s">
        <v>259</v>
      </c>
      <c r="C108" s="2" t="s">
        <v>249</v>
      </c>
      <c r="D108" s="2" t="b">
        <v>1</v>
      </c>
      <c r="E108" s="2" t="b">
        <v>1</v>
      </c>
      <c r="F108" s="2" t="s">
        <v>250</v>
      </c>
      <c r="G108" s="2"/>
      <c r="H108" s="2" t="s">
        <v>251</v>
      </c>
      <c r="I108" s="2" t="s">
        <v>260</v>
      </c>
      <c r="J108" s="2">
        <v>4.2</v>
      </c>
      <c r="K108" s="2"/>
      <c r="L108" s="2">
        <v>2.5000000000000001E-2</v>
      </c>
      <c r="M108" s="2"/>
      <c r="N108" s="5" t="s">
        <v>252</v>
      </c>
      <c r="O108" s="2">
        <v>1986</v>
      </c>
      <c r="P108" s="2" t="b">
        <v>0</v>
      </c>
    </row>
    <row r="109" spans="1:16">
      <c r="A109" s="2" t="s">
        <v>25</v>
      </c>
      <c r="B109" s="2" t="s">
        <v>248</v>
      </c>
      <c r="C109" s="2" t="s">
        <v>249</v>
      </c>
      <c r="D109" s="2" t="b">
        <v>1</v>
      </c>
      <c r="E109" s="2" t="b">
        <v>1</v>
      </c>
      <c r="F109" s="2" t="s">
        <v>250</v>
      </c>
      <c r="G109" s="2"/>
      <c r="H109" s="2" t="s">
        <v>251</v>
      </c>
      <c r="I109" s="2" t="s">
        <v>261</v>
      </c>
      <c r="J109" s="2">
        <v>60.1</v>
      </c>
      <c r="K109" s="2"/>
      <c r="L109" s="2">
        <v>1.6E-2</v>
      </c>
      <c r="M109" s="2"/>
      <c r="N109" s="5" t="s">
        <v>252</v>
      </c>
      <c r="O109" s="2">
        <v>1986</v>
      </c>
      <c r="P109" s="2" t="b">
        <v>0</v>
      </c>
    </row>
    <row r="110" spans="1:16">
      <c r="A110" s="2" t="s">
        <v>25</v>
      </c>
      <c r="B110" s="2" t="s">
        <v>253</v>
      </c>
      <c r="C110" s="2" t="s">
        <v>249</v>
      </c>
      <c r="D110" s="2" t="b">
        <v>1</v>
      </c>
      <c r="E110" s="2" t="b">
        <v>1</v>
      </c>
      <c r="F110" s="2" t="s">
        <v>250</v>
      </c>
      <c r="G110" s="2"/>
      <c r="H110" s="2" t="s">
        <v>251</v>
      </c>
      <c r="I110" s="2" t="s">
        <v>262</v>
      </c>
      <c r="J110" s="2">
        <v>88.7</v>
      </c>
      <c r="K110" s="2"/>
      <c r="L110" s="2">
        <v>2.3E-2</v>
      </c>
      <c r="M110" s="2"/>
      <c r="N110" s="5" t="s">
        <v>252</v>
      </c>
      <c r="O110" s="2">
        <v>1986</v>
      </c>
      <c r="P110" s="2" t="b">
        <v>0</v>
      </c>
    </row>
    <row r="111" spans="1:16">
      <c r="A111" s="2" t="s">
        <v>25</v>
      </c>
      <c r="B111" s="2" t="s">
        <v>255</v>
      </c>
      <c r="C111" s="2" t="s">
        <v>249</v>
      </c>
      <c r="D111" s="2" t="b">
        <v>1</v>
      </c>
      <c r="E111" s="2" t="b">
        <v>1</v>
      </c>
      <c r="F111" s="2" t="s">
        <v>250</v>
      </c>
      <c r="G111" s="2"/>
      <c r="H111" s="2" t="s">
        <v>251</v>
      </c>
      <c r="I111" s="2" t="s">
        <v>263</v>
      </c>
      <c r="J111" s="2">
        <v>5.7</v>
      </c>
      <c r="K111" s="2"/>
      <c r="L111" s="2">
        <v>1.7000000000000001E-2</v>
      </c>
      <c r="M111" s="2"/>
      <c r="N111" s="5" t="s">
        <v>252</v>
      </c>
      <c r="O111" s="2">
        <v>1986</v>
      </c>
      <c r="P111" s="2" t="b">
        <v>0</v>
      </c>
    </row>
    <row r="112" spans="1:16">
      <c r="A112" s="2" t="s">
        <v>25</v>
      </c>
      <c r="B112" s="2" t="s">
        <v>257</v>
      </c>
      <c r="C112" s="2" t="s">
        <v>249</v>
      </c>
      <c r="D112" s="2" t="b">
        <v>1</v>
      </c>
      <c r="E112" s="2" t="b">
        <v>1</v>
      </c>
      <c r="F112" s="2" t="s">
        <v>250</v>
      </c>
      <c r="G112" s="2"/>
      <c r="H112" s="2" t="s">
        <v>251</v>
      </c>
      <c r="I112" s="2" t="s">
        <v>264</v>
      </c>
      <c r="J112" s="2">
        <v>21.7</v>
      </c>
      <c r="K112" s="2"/>
      <c r="L112" s="2">
        <v>2.1999999999999999E-2</v>
      </c>
      <c r="M112" s="2"/>
      <c r="N112" s="5" t="s">
        <v>252</v>
      </c>
      <c r="O112" s="2">
        <v>1986</v>
      </c>
      <c r="P112" s="2" t="b">
        <v>0</v>
      </c>
    </row>
    <row r="113" spans="1:16">
      <c r="A113" s="2" t="s">
        <v>25</v>
      </c>
      <c r="B113" s="2" t="s">
        <v>259</v>
      </c>
      <c r="C113" s="2" t="s">
        <v>249</v>
      </c>
      <c r="D113" s="2" t="b">
        <v>1</v>
      </c>
      <c r="E113" s="2" t="b">
        <v>1</v>
      </c>
      <c r="F113" s="2" t="s">
        <v>250</v>
      </c>
      <c r="G113" s="2"/>
      <c r="H113" s="2" t="s">
        <v>251</v>
      </c>
      <c r="I113" s="2" t="s">
        <v>265</v>
      </c>
      <c r="J113" s="2">
        <v>8.4</v>
      </c>
      <c r="K113" s="2"/>
      <c r="L113" s="2">
        <v>2.5000000000000001E-2</v>
      </c>
      <c r="M113" s="2"/>
      <c r="N113" s="5" t="s">
        <v>252</v>
      </c>
      <c r="O113" s="2">
        <v>1986</v>
      </c>
      <c r="P113" s="2" t="b">
        <v>0</v>
      </c>
    </row>
    <row r="114" spans="1:16">
      <c r="A114" s="2" t="s">
        <v>242</v>
      </c>
      <c r="B114" s="2" t="s">
        <v>17</v>
      </c>
      <c r="C114" s="2" t="s">
        <v>18</v>
      </c>
      <c r="D114" s="2" t="b">
        <v>0</v>
      </c>
      <c r="E114" s="2" t="b">
        <v>0</v>
      </c>
      <c r="F114" s="2" t="s">
        <v>266</v>
      </c>
      <c r="G114" s="2">
        <v>37</v>
      </c>
      <c r="H114" s="2" t="s">
        <v>20</v>
      </c>
      <c r="I114" s="2" t="s">
        <v>267</v>
      </c>
      <c r="J114" s="2">
        <v>0.12</v>
      </c>
      <c r="K114" s="2" t="s">
        <v>199</v>
      </c>
      <c r="L114" s="2">
        <v>0.4</v>
      </c>
      <c r="M114" s="2" t="s">
        <v>268</v>
      </c>
      <c r="N114" s="5" t="s">
        <v>269</v>
      </c>
      <c r="O114" s="2">
        <v>2010</v>
      </c>
      <c r="P114" s="2" t="b">
        <v>0</v>
      </c>
    </row>
    <row r="115" spans="1:16">
      <c r="A115" s="2" t="s">
        <v>71</v>
      </c>
      <c r="B115" s="2" t="s">
        <v>270</v>
      </c>
      <c r="C115" s="2"/>
      <c r="D115" s="2" t="b">
        <v>1</v>
      </c>
      <c r="E115" s="2" t="b">
        <v>1</v>
      </c>
      <c r="F115" s="2" t="s">
        <v>19</v>
      </c>
      <c r="G115" s="2">
        <v>15</v>
      </c>
      <c r="H115" s="2" t="s">
        <v>271</v>
      </c>
      <c r="I115" s="2" t="s">
        <v>272</v>
      </c>
      <c r="J115" s="2">
        <v>0.28000000000000003</v>
      </c>
      <c r="K115" s="2"/>
      <c r="L115" s="2">
        <v>0.08</v>
      </c>
      <c r="M115" s="2"/>
      <c r="N115" s="5" t="s">
        <v>273</v>
      </c>
      <c r="O115" s="2">
        <v>1974</v>
      </c>
      <c r="P115" s="2" t="b">
        <v>0</v>
      </c>
    </row>
    <row r="116" spans="1:16">
      <c r="A116" s="2" t="s">
        <v>71</v>
      </c>
      <c r="B116" s="2" t="s">
        <v>270</v>
      </c>
      <c r="C116" s="2"/>
      <c r="D116" s="2" t="b">
        <v>1</v>
      </c>
      <c r="E116" s="2" t="b">
        <v>1</v>
      </c>
      <c r="F116" s="2" t="s">
        <v>19</v>
      </c>
      <c r="G116" s="2">
        <v>25</v>
      </c>
      <c r="H116" s="2" t="s">
        <v>271</v>
      </c>
      <c r="I116" s="2" t="s">
        <v>274</v>
      </c>
      <c r="J116" s="2">
        <v>0.95</v>
      </c>
      <c r="K116" s="2"/>
      <c r="L116" s="2">
        <v>7.6999999999999999E-2</v>
      </c>
      <c r="M116" s="2"/>
      <c r="N116" s="5" t="s">
        <v>273</v>
      </c>
      <c r="O116" s="2">
        <v>1974</v>
      </c>
      <c r="P116" s="2" t="b">
        <v>0</v>
      </c>
    </row>
    <row r="117" spans="1:16">
      <c r="A117" s="2" t="s">
        <v>71</v>
      </c>
      <c r="B117" s="2" t="s">
        <v>275</v>
      </c>
      <c r="C117" s="2"/>
      <c r="D117" s="2" t="b">
        <v>1</v>
      </c>
      <c r="E117" s="2" t="b">
        <v>1</v>
      </c>
      <c r="F117" s="2" t="s">
        <v>19</v>
      </c>
      <c r="G117" s="2">
        <v>18</v>
      </c>
      <c r="H117" s="2" t="s">
        <v>271</v>
      </c>
      <c r="I117" s="2" t="s">
        <v>276</v>
      </c>
      <c r="J117" s="2">
        <v>1.02</v>
      </c>
      <c r="K117" s="2"/>
      <c r="L117" s="2">
        <v>0.02</v>
      </c>
      <c r="M117" s="2"/>
      <c r="N117" s="5" t="s">
        <v>273</v>
      </c>
      <c r="O117" s="2">
        <v>1974</v>
      </c>
      <c r="P117" s="2" t="b">
        <v>0</v>
      </c>
    </row>
    <row r="118" spans="1:16">
      <c r="A118" s="2" t="s">
        <v>71</v>
      </c>
      <c r="B118" s="2" t="s">
        <v>275</v>
      </c>
      <c r="C118" s="2"/>
      <c r="D118" s="2" t="b">
        <v>1</v>
      </c>
      <c r="E118" s="2" t="b">
        <v>1</v>
      </c>
      <c r="F118" s="2" t="s">
        <v>19</v>
      </c>
      <c r="G118" s="2">
        <v>25</v>
      </c>
      <c r="H118" s="2" t="s">
        <v>271</v>
      </c>
      <c r="I118" s="2" t="s">
        <v>277</v>
      </c>
      <c r="J118" s="2">
        <v>6.55</v>
      </c>
      <c r="K118" s="2"/>
      <c r="L118" s="2">
        <v>3.5000000000000003E-2</v>
      </c>
      <c r="M118" s="2"/>
      <c r="N118" s="5" t="s">
        <v>273</v>
      </c>
      <c r="O118" s="2">
        <v>1974</v>
      </c>
      <c r="P118" s="2" t="b">
        <v>0</v>
      </c>
    </row>
    <row r="119" spans="1:16">
      <c r="A119" s="2" t="s">
        <v>25</v>
      </c>
      <c r="B119" s="2" t="s">
        <v>278</v>
      </c>
      <c r="C119" s="2"/>
      <c r="D119" s="2" t="b">
        <v>1</v>
      </c>
      <c r="E119" s="2" t="b">
        <v>1</v>
      </c>
      <c r="F119" s="2" t="s">
        <v>19</v>
      </c>
      <c r="G119" s="2"/>
      <c r="H119" s="2" t="s">
        <v>279</v>
      </c>
      <c r="I119" s="2" t="s">
        <v>280</v>
      </c>
      <c r="J119" s="2">
        <v>1.5</v>
      </c>
      <c r="K119" s="2"/>
      <c r="L119" s="2">
        <v>2.5999999999999999E-2</v>
      </c>
      <c r="M119" s="2"/>
      <c r="N119" s="5" t="s">
        <v>281</v>
      </c>
      <c r="O119" s="2">
        <v>1981</v>
      </c>
      <c r="P119" s="2" t="b">
        <v>0</v>
      </c>
    </row>
    <row r="120" spans="1:16">
      <c r="A120" s="2" t="s">
        <v>25</v>
      </c>
      <c r="B120" s="2" t="s">
        <v>282</v>
      </c>
      <c r="C120" s="2"/>
      <c r="D120" s="2" t="b">
        <v>1</v>
      </c>
      <c r="E120" s="2" t="b">
        <v>1</v>
      </c>
      <c r="F120" s="2" t="s">
        <v>19</v>
      </c>
      <c r="G120" s="2"/>
      <c r="H120" s="2" t="s">
        <v>279</v>
      </c>
      <c r="I120" s="2" t="s">
        <v>283</v>
      </c>
      <c r="J120" s="2">
        <v>2.2000000000000002</v>
      </c>
      <c r="K120" s="2"/>
      <c r="L120" s="2">
        <v>3.3000000000000002E-2</v>
      </c>
      <c r="M120" s="2"/>
      <c r="N120" s="5" t="s">
        <v>281</v>
      </c>
      <c r="O120" s="2">
        <v>1981</v>
      </c>
      <c r="P120" s="2" t="b">
        <v>0</v>
      </c>
    </row>
    <row r="121" spans="1:16">
      <c r="A121" s="2" t="s">
        <v>25</v>
      </c>
      <c r="B121" s="2" t="s">
        <v>284</v>
      </c>
      <c r="C121" s="2"/>
      <c r="D121" s="2" t="b">
        <v>1</v>
      </c>
      <c r="E121" s="2" t="b">
        <v>1</v>
      </c>
      <c r="F121" s="2" t="s">
        <v>19</v>
      </c>
      <c r="G121" s="2"/>
      <c r="H121" s="2" t="s">
        <v>279</v>
      </c>
      <c r="I121" s="2" t="s">
        <v>285</v>
      </c>
      <c r="J121" s="2">
        <v>19.7</v>
      </c>
      <c r="K121" s="2"/>
      <c r="L121" s="2">
        <v>4.5999999999999999E-2</v>
      </c>
      <c r="M121" s="2"/>
      <c r="N121" s="5" t="s">
        <v>281</v>
      </c>
      <c r="O121" s="2">
        <v>1981</v>
      </c>
      <c r="P121" s="2" t="b">
        <v>0</v>
      </c>
    </row>
    <row r="122" spans="1:16">
      <c r="A122" s="2" t="s">
        <v>25</v>
      </c>
      <c r="B122" s="2" t="s">
        <v>286</v>
      </c>
      <c r="C122" s="2"/>
      <c r="D122" s="2" t="b">
        <v>1</v>
      </c>
      <c r="E122" s="2" t="b">
        <v>1</v>
      </c>
      <c r="F122" s="2" t="s">
        <v>19</v>
      </c>
      <c r="G122" s="2"/>
      <c r="H122" s="2" t="s">
        <v>279</v>
      </c>
      <c r="I122" s="2" t="s">
        <v>287</v>
      </c>
      <c r="J122" s="2">
        <v>19</v>
      </c>
      <c r="K122" s="2"/>
      <c r="L122" s="2">
        <v>3.1E-2</v>
      </c>
      <c r="M122" s="2"/>
      <c r="N122" s="5" t="s">
        <v>281</v>
      </c>
      <c r="O122" s="2">
        <v>1981</v>
      </c>
      <c r="P122" s="2" t="b">
        <v>0</v>
      </c>
    </row>
    <row r="123" spans="1:16">
      <c r="A123" s="2" t="s">
        <v>31</v>
      </c>
      <c r="B123" s="2" t="s">
        <v>278</v>
      </c>
      <c r="C123" s="2"/>
      <c r="D123" s="2" t="b">
        <v>1</v>
      </c>
      <c r="E123" s="2" t="b">
        <v>1</v>
      </c>
      <c r="F123" s="2" t="s">
        <v>19</v>
      </c>
      <c r="G123" s="2"/>
      <c r="H123" s="2" t="s">
        <v>279</v>
      </c>
      <c r="I123" s="2" t="s">
        <v>288</v>
      </c>
      <c r="J123" s="2">
        <v>1.0999999999999999E-2</v>
      </c>
      <c r="K123" s="2"/>
      <c r="L123" s="2">
        <v>3.3000000000000002E-2</v>
      </c>
      <c r="M123" s="2"/>
      <c r="N123" s="5" t="s">
        <v>281</v>
      </c>
      <c r="O123" s="2">
        <v>1981</v>
      </c>
      <c r="P123" s="2" t="b">
        <v>0</v>
      </c>
    </row>
    <row r="124" spans="1:16">
      <c r="A124" s="2" t="s">
        <v>31</v>
      </c>
      <c r="B124" s="2" t="s">
        <v>282</v>
      </c>
      <c r="C124" s="2"/>
      <c r="D124" s="2" t="b">
        <v>1</v>
      </c>
      <c r="E124" s="2" t="b">
        <v>1</v>
      </c>
      <c r="F124" s="2" t="s">
        <v>19</v>
      </c>
      <c r="G124" s="2"/>
      <c r="H124" s="2" t="s">
        <v>279</v>
      </c>
      <c r="I124" s="2" t="s">
        <v>36</v>
      </c>
      <c r="J124" s="2">
        <v>6.0000000000000001E-3</v>
      </c>
      <c r="K124" s="2"/>
      <c r="L124" s="2">
        <v>2.5000000000000001E-2</v>
      </c>
      <c r="M124" s="2"/>
      <c r="N124" s="5" t="s">
        <v>281</v>
      </c>
      <c r="O124" s="2">
        <v>1981</v>
      </c>
      <c r="P124" s="2" t="b">
        <v>0</v>
      </c>
    </row>
    <row r="125" spans="1:16">
      <c r="A125" s="2" t="s">
        <v>31</v>
      </c>
      <c r="B125" s="2" t="s">
        <v>284</v>
      </c>
      <c r="C125" s="2"/>
      <c r="D125" s="2" t="b">
        <v>1</v>
      </c>
      <c r="E125" s="2" t="b">
        <v>1</v>
      </c>
      <c r="F125" s="2" t="s">
        <v>19</v>
      </c>
      <c r="G125" s="2"/>
      <c r="H125" s="2" t="s">
        <v>279</v>
      </c>
      <c r="I125" s="2" t="s">
        <v>289</v>
      </c>
      <c r="J125" s="2">
        <v>3.0000000000000001E-3</v>
      </c>
      <c r="K125" s="2"/>
      <c r="L125" s="2">
        <v>2.7E-2</v>
      </c>
      <c r="M125" s="2"/>
      <c r="N125" s="5" t="s">
        <v>281</v>
      </c>
      <c r="O125" s="2">
        <v>1981</v>
      </c>
      <c r="P125" s="2" t="b">
        <v>0</v>
      </c>
    </row>
    <row r="126" spans="1:16">
      <c r="A126" s="2" t="s">
        <v>31</v>
      </c>
      <c r="B126" s="2" t="s">
        <v>286</v>
      </c>
      <c r="C126" s="2"/>
      <c r="D126" s="2" t="b">
        <v>1</v>
      </c>
      <c r="E126" s="2" t="b">
        <v>1</v>
      </c>
      <c r="F126" s="2" t="s">
        <v>19</v>
      </c>
      <c r="G126" s="2"/>
      <c r="H126" s="2" t="s">
        <v>279</v>
      </c>
      <c r="I126" s="2" t="s">
        <v>160</v>
      </c>
      <c r="J126" s="2">
        <v>8.0000000000000002E-3</v>
      </c>
      <c r="K126" s="2"/>
      <c r="L126" s="2">
        <v>1.4999999999999999E-2</v>
      </c>
      <c r="M126" s="2"/>
      <c r="N126" s="5" t="s">
        <v>281</v>
      </c>
      <c r="O126" s="2">
        <v>1981</v>
      </c>
      <c r="P126" s="2" t="b">
        <v>0</v>
      </c>
    </row>
    <row r="127" spans="1:16">
      <c r="A127" s="2" t="s">
        <v>25</v>
      </c>
      <c r="B127" s="2" t="s">
        <v>282</v>
      </c>
      <c r="C127" s="2"/>
      <c r="D127" s="2" t="b">
        <v>1</v>
      </c>
      <c r="E127" s="2" t="b">
        <v>1</v>
      </c>
      <c r="F127" s="2" t="s">
        <v>19</v>
      </c>
      <c r="G127" s="2">
        <v>4</v>
      </c>
      <c r="H127" s="2" t="s">
        <v>290</v>
      </c>
      <c r="I127" s="2" t="s">
        <v>291</v>
      </c>
      <c r="J127" s="2">
        <v>2.2000000000000002</v>
      </c>
      <c r="K127" s="2"/>
      <c r="L127" s="2">
        <v>1.4999999999999999E-2</v>
      </c>
      <c r="M127" s="2"/>
      <c r="N127" s="5" t="s">
        <v>292</v>
      </c>
      <c r="O127" s="2">
        <v>1981</v>
      </c>
      <c r="P127" s="2" t="b">
        <v>0</v>
      </c>
    </row>
    <row r="128" spans="1:16">
      <c r="A128" s="2" t="s">
        <v>25</v>
      </c>
      <c r="B128" s="2" t="s">
        <v>282</v>
      </c>
      <c r="C128" s="2"/>
      <c r="D128" s="2" t="b">
        <v>1</v>
      </c>
      <c r="E128" s="2" t="b">
        <v>1</v>
      </c>
      <c r="F128" s="2" t="s">
        <v>19</v>
      </c>
      <c r="G128" s="2">
        <v>8</v>
      </c>
      <c r="H128" s="2" t="s">
        <v>290</v>
      </c>
      <c r="I128" s="2" t="s">
        <v>293</v>
      </c>
      <c r="J128" s="2">
        <v>1.9</v>
      </c>
      <c r="K128" s="2"/>
      <c r="L128" s="2">
        <v>1.4999999999999999E-2</v>
      </c>
      <c r="M128" s="2"/>
      <c r="N128" s="5" t="s">
        <v>292</v>
      </c>
      <c r="O128" s="2">
        <v>1981</v>
      </c>
      <c r="P128" s="2" t="b">
        <v>0</v>
      </c>
    </row>
    <row r="129" spans="1:16">
      <c r="A129" s="2" t="s">
        <v>25</v>
      </c>
      <c r="B129" s="2" t="s">
        <v>282</v>
      </c>
      <c r="C129" s="2"/>
      <c r="D129" s="2" t="b">
        <v>1</v>
      </c>
      <c r="E129" s="2" t="b">
        <v>1</v>
      </c>
      <c r="F129" s="2" t="s">
        <v>19</v>
      </c>
      <c r="G129" s="2">
        <v>12.5</v>
      </c>
      <c r="H129" s="2" t="s">
        <v>290</v>
      </c>
      <c r="I129" s="2" t="s">
        <v>294</v>
      </c>
      <c r="J129" s="2">
        <v>2.1</v>
      </c>
      <c r="K129" s="2"/>
      <c r="L129" s="2">
        <v>3.3000000000000002E-2</v>
      </c>
      <c r="M129" s="2"/>
      <c r="N129" s="5" t="s">
        <v>292</v>
      </c>
      <c r="O129" s="2">
        <v>1981</v>
      </c>
      <c r="P129" s="2" t="b">
        <v>0</v>
      </c>
    </row>
    <row r="130" spans="1:16">
      <c r="A130" s="2" t="s">
        <v>25</v>
      </c>
      <c r="B130" s="2" t="s">
        <v>282</v>
      </c>
      <c r="C130" s="2"/>
      <c r="D130" s="2" t="b">
        <v>1</v>
      </c>
      <c r="E130" s="2" t="b">
        <v>1</v>
      </c>
      <c r="F130" s="2" t="s">
        <v>19</v>
      </c>
      <c r="G130" s="2">
        <v>20</v>
      </c>
      <c r="H130" s="2" t="s">
        <v>290</v>
      </c>
      <c r="I130" s="2" t="s">
        <v>295</v>
      </c>
      <c r="J130" s="2">
        <v>4</v>
      </c>
      <c r="K130" s="2"/>
      <c r="L130" s="2">
        <v>0.03</v>
      </c>
      <c r="M130" s="2"/>
      <c r="N130" s="5" t="s">
        <v>292</v>
      </c>
      <c r="O130" s="2">
        <v>1981</v>
      </c>
      <c r="P130" s="2" t="b">
        <v>0</v>
      </c>
    </row>
    <row r="131" spans="1:16">
      <c r="A131" s="2" t="s">
        <v>25</v>
      </c>
      <c r="B131" s="2" t="s">
        <v>282</v>
      </c>
      <c r="C131" s="2"/>
      <c r="D131" s="2" t="b">
        <v>1</v>
      </c>
      <c r="E131" s="2" t="b">
        <v>1</v>
      </c>
      <c r="F131" s="2" t="s">
        <v>19</v>
      </c>
      <c r="G131" s="2">
        <v>24</v>
      </c>
      <c r="H131" s="2" t="s">
        <v>290</v>
      </c>
      <c r="I131" s="2" t="s">
        <v>296</v>
      </c>
      <c r="J131" s="2">
        <v>11</v>
      </c>
      <c r="K131" s="2"/>
      <c r="L131" s="2">
        <v>2.8000000000000001E-2</v>
      </c>
      <c r="M131" s="2"/>
      <c r="N131" s="5" t="s">
        <v>292</v>
      </c>
      <c r="O131" s="2">
        <v>1981</v>
      </c>
      <c r="P131" s="2" t="b">
        <v>0</v>
      </c>
    </row>
    <row r="132" spans="1:16">
      <c r="A132" s="2" t="s">
        <v>25</v>
      </c>
      <c r="B132" s="2" t="s">
        <v>284</v>
      </c>
      <c r="C132" s="2"/>
      <c r="D132" s="2" t="b">
        <v>1</v>
      </c>
      <c r="E132" s="2" t="b">
        <v>1</v>
      </c>
      <c r="F132" s="2" t="s">
        <v>19</v>
      </c>
      <c r="G132" s="2">
        <v>8</v>
      </c>
      <c r="H132" s="2" t="s">
        <v>290</v>
      </c>
      <c r="I132" s="2" t="s">
        <v>263</v>
      </c>
      <c r="J132" s="2">
        <v>5.7</v>
      </c>
      <c r="K132" s="2"/>
      <c r="L132" s="2">
        <v>6.7000000000000002E-3</v>
      </c>
      <c r="M132" s="2"/>
      <c r="N132" s="5" t="s">
        <v>292</v>
      </c>
      <c r="O132" s="2">
        <v>1981</v>
      </c>
      <c r="P132" s="2" t="b">
        <v>0</v>
      </c>
    </row>
    <row r="133" spans="1:16">
      <c r="A133" s="2" t="s">
        <v>25</v>
      </c>
      <c r="B133" s="2" t="s">
        <v>284</v>
      </c>
      <c r="C133" s="2"/>
      <c r="D133" s="2" t="b">
        <v>1</v>
      </c>
      <c r="E133" s="2" t="b">
        <v>1</v>
      </c>
      <c r="F133" s="2" t="s">
        <v>19</v>
      </c>
      <c r="G133" s="2">
        <v>12.5</v>
      </c>
      <c r="H133" s="2" t="s">
        <v>290</v>
      </c>
      <c r="I133" s="2" t="s">
        <v>297</v>
      </c>
      <c r="J133" s="2">
        <v>4.5</v>
      </c>
      <c r="K133" s="2"/>
      <c r="L133" s="2">
        <v>0.03</v>
      </c>
      <c r="M133" s="2"/>
      <c r="N133" s="5" t="s">
        <v>292</v>
      </c>
      <c r="O133" s="2">
        <v>1981</v>
      </c>
      <c r="P133" s="2" t="b">
        <v>0</v>
      </c>
    </row>
    <row r="134" spans="1:16">
      <c r="A134" s="2" t="s">
        <v>25</v>
      </c>
      <c r="B134" s="2" t="s">
        <v>284</v>
      </c>
      <c r="C134" s="2"/>
      <c r="D134" s="2" t="b">
        <v>1</v>
      </c>
      <c r="E134" s="2" t="b">
        <v>1</v>
      </c>
      <c r="F134" s="2" t="s">
        <v>19</v>
      </c>
      <c r="G134" s="2">
        <v>20</v>
      </c>
      <c r="H134" s="2" t="s">
        <v>290</v>
      </c>
      <c r="I134" s="2" t="s">
        <v>298</v>
      </c>
      <c r="J134" s="2">
        <v>6.11</v>
      </c>
      <c r="K134" s="2"/>
      <c r="L134" s="2">
        <v>2.7E-2</v>
      </c>
      <c r="M134" s="2"/>
      <c r="N134" s="5" t="s">
        <v>292</v>
      </c>
      <c r="O134" s="2">
        <v>1981</v>
      </c>
      <c r="P134" s="2" t="b">
        <v>0</v>
      </c>
    </row>
    <row r="135" spans="1:16">
      <c r="A135" s="2" t="s">
        <v>25</v>
      </c>
      <c r="B135" s="2" t="s">
        <v>284</v>
      </c>
      <c r="C135" s="2"/>
      <c r="D135" s="2" t="b">
        <v>1</v>
      </c>
      <c r="E135" s="2" t="b">
        <v>1</v>
      </c>
      <c r="F135" s="2" t="s">
        <v>19</v>
      </c>
      <c r="G135" s="2">
        <v>24</v>
      </c>
      <c r="H135" s="2" t="s">
        <v>290</v>
      </c>
      <c r="I135" s="2" t="s">
        <v>299</v>
      </c>
      <c r="J135" s="2">
        <v>4.9000000000000004</v>
      </c>
      <c r="K135" s="2"/>
      <c r="L135" s="2">
        <v>3.3000000000000002E-2</v>
      </c>
      <c r="M135" s="2"/>
      <c r="N135" s="5" t="s">
        <v>292</v>
      </c>
      <c r="O135" s="2">
        <v>1981</v>
      </c>
      <c r="P135" s="2" t="b">
        <v>0</v>
      </c>
    </row>
    <row r="136" spans="1:16">
      <c r="A136" s="2" t="s">
        <v>16</v>
      </c>
      <c r="B136" s="2" t="s">
        <v>17</v>
      </c>
      <c r="C136" s="2" t="s">
        <v>300</v>
      </c>
      <c r="D136" s="2" t="b">
        <v>0</v>
      </c>
      <c r="E136" s="2" t="b">
        <v>0</v>
      </c>
      <c r="F136" s="2" t="s">
        <v>19</v>
      </c>
      <c r="G136" s="2">
        <v>37</v>
      </c>
      <c r="H136" s="2" t="s">
        <v>20</v>
      </c>
      <c r="I136" s="2" t="s">
        <v>301</v>
      </c>
      <c r="J136" s="2">
        <v>0.40400000000000003</v>
      </c>
      <c r="K136" s="2"/>
      <c r="L136" s="2">
        <v>0.77259999999999995</v>
      </c>
      <c r="M136" s="2" t="s">
        <v>302</v>
      </c>
      <c r="N136" s="5" t="s">
        <v>303</v>
      </c>
      <c r="O136" s="2">
        <v>1994</v>
      </c>
      <c r="P136" s="2" t="b">
        <v>0</v>
      </c>
    </row>
    <row r="137" spans="1:16">
      <c r="A137" s="2" t="s">
        <v>16</v>
      </c>
      <c r="B137" s="2" t="s">
        <v>17</v>
      </c>
      <c r="C137" s="2" t="s">
        <v>304</v>
      </c>
      <c r="D137" s="2" t="b">
        <v>0</v>
      </c>
      <c r="E137" s="2" t="b">
        <v>0</v>
      </c>
      <c r="F137" s="2" t="s">
        <v>19</v>
      </c>
      <c r="G137" s="2">
        <v>37</v>
      </c>
      <c r="H137" s="2" t="s">
        <v>20</v>
      </c>
      <c r="I137" s="2" t="s">
        <v>305</v>
      </c>
      <c r="J137" s="2">
        <v>0.48899999999999999</v>
      </c>
      <c r="K137" s="2"/>
      <c r="L137" s="2">
        <v>0.88870000000000005</v>
      </c>
      <c r="M137" s="2" t="s">
        <v>306</v>
      </c>
      <c r="N137" s="5" t="s">
        <v>303</v>
      </c>
      <c r="O137" s="2">
        <v>1994</v>
      </c>
      <c r="P137" s="2" t="b">
        <v>0</v>
      </c>
    </row>
    <row r="138" spans="1:16">
      <c r="A138" s="2" t="s">
        <v>16</v>
      </c>
      <c r="B138" s="2" t="s">
        <v>17</v>
      </c>
      <c r="C138" s="2" t="s">
        <v>307</v>
      </c>
      <c r="D138" s="2" t="b">
        <v>0</v>
      </c>
      <c r="E138" s="2" t="b">
        <v>0</v>
      </c>
      <c r="F138" s="2" t="s">
        <v>19</v>
      </c>
      <c r="G138" s="2">
        <v>37</v>
      </c>
      <c r="H138" s="2" t="s">
        <v>20</v>
      </c>
      <c r="I138" s="2" t="s">
        <v>308</v>
      </c>
      <c r="J138" s="2">
        <v>1</v>
      </c>
      <c r="K138" s="2"/>
      <c r="L138" s="2">
        <v>1.04</v>
      </c>
      <c r="M138" s="2"/>
      <c r="N138" s="5" t="s">
        <v>309</v>
      </c>
      <c r="O138" s="2">
        <v>1971</v>
      </c>
      <c r="P138" s="2" t="b">
        <v>0</v>
      </c>
    </row>
    <row r="139" spans="1:16">
      <c r="A139" s="2" t="s">
        <v>71</v>
      </c>
      <c r="B139" s="2" t="s">
        <v>32</v>
      </c>
      <c r="C139" s="2"/>
      <c r="D139" s="2" t="b">
        <v>1</v>
      </c>
      <c r="E139" s="2" t="b">
        <v>0</v>
      </c>
      <c r="F139" s="2" t="s">
        <v>33</v>
      </c>
      <c r="G139" s="2">
        <v>20</v>
      </c>
      <c r="H139" s="2"/>
      <c r="I139" s="2" t="s">
        <v>310</v>
      </c>
      <c r="J139" s="2">
        <v>1.2</v>
      </c>
      <c r="K139" s="2"/>
      <c r="L139" s="2"/>
      <c r="M139" s="2"/>
      <c r="N139" s="5" t="s">
        <v>311</v>
      </c>
      <c r="O139" s="2">
        <v>1979</v>
      </c>
      <c r="P139" s="2" t="b">
        <v>0</v>
      </c>
    </row>
    <row r="140" spans="1:16">
      <c r="A140" s="2" t="s">
        <v>16</v>
      </c>
      <c r="B140" s="2" t="s">
        <v>200</v>
      </c>
      <c r="C140" s="2" t="s">
        <v>312</v>
      </c>
      <c r="D140" s="2" t="b">
        <v>0</v>
      </c>
      <c r="E140" s="2" t="b">
        <v>1</v>
      </c>
      <c r="F140" s="2" t="s">
        <v>313</v>
      </c>
      <c r="G140" s="2"/>
      <c r="H140" s="2" t="s">
        <v>20</v>
      </c>
      <c r="I140" s="2" t="s">
        <v>314</v>
      </c>
      <c r="J140" s="2">
        <v>202</v>
      </c>
      <c r="K140" s="2">
        <v>0.1</v>
      </c>
      <c r="L140" s="2">
        <v>0.433</v>
      </c>
      <c r="M140" s="2" t="s">
        <v>315</v>
      </c>
      <c r="N140" s="5" t="s">
        <v>316</v>
      </c>
      <c r="O140" s="2">
        <v>2013</v>
      </c>
      <c r="P140" s="2" t="b">
        <v>0</v>
      </c>
    </row>
    <row r="141" spans="1:16">
      <c r="A141" s="2" t="s">
        <v>16</v>
      </c>
      <c r="B141" s="2" t="s">
        <v>200</v>
      </c>
      <c r="C141" s="2" t="s">
        <v>317</v>
      </c>
      <c r="D141" s="2" t="b">
        <v>0</v>
      </c>
      <c r="E141" s="2" t="b">
        <v>1</v>
      </c>
      <c r="F141" s="2" t="s">
        <v>313</v>
      </c>
      <c r="G141" s="2"/>
      <c r="H141" s="2" t="s">
        <v>20</v>
      </c>
      <c r="I141" s="2" t="s">
        <v>318</v>
      </c>
      <c r="J141" s="2">
        <v>115</v>
      </c>
      <c r="K141" s="2">
        <v>0.1</v>
      </c>
      <c r="L141" s="2">
        <v>0.51900000000000002</v>
      </c>
      <c r="M141" s="2" t="s">
        <v>315</v>
      </c>
      <c r="N141" s="5" t="s">
        <v>316</v>
      </c>
      <c r="O141" s="2">
        <v>2013</v>
      </c>
      <c r="P141" s="2" t="b">
        <v>0</v>
      </c>
    </row>
    <row r="142" spans="1:16">
      <c r="A142" s="2" t="s">
        <v>16</v>
      </c>
      <c r="B142" s="2" t="s">
        <v>200</v>
      </c>
      <c r="C142" s="2" t="s">
        <v>319</v>
      </c>
      <c r="D142" s="2" t="b">
        <v>0</v>
      </c>
      <c r="E142" s="2" t="b">
        <v>1</v>
      </c>
      <c r="F142" s="2" t="s">
        <v>313</v>
      </c>
      <c r="G142" s="2"/>
      <c r="H142" s="2" t="s">
        <v>20</v>
      </c>
      <c r="I142" s="2" t="s">
        <v>320</v>
      </c>
      <c r="J142" s="2">
        <v>189</v>
      </c>
      <c r="K142" s="2">
        <v>0.1</v>
      </c>
      <c r="L142" s="2">
        <v>0.48299999999999998</v>
      </c>
      <c r="M142" s="2" t="s">
        <v>315</v>
      </c>
      <c r="N142" s="5" t="s">
        <v>316</v>
      </c>
      <c r="O142" s="2">
        <v>2013</v>
      </c>
      <c r="P142" s="2" t="b">
        <v>0</v>
      </c>
    </row>
    <row r="143" spans="1:16">
      <c r="A143" s="2" t="s">
        <v>16</v>
      </c>
      <c r="B143" s="2" t="s">
        <v>200</v>
      </c>
      <c r="C143" s="2" t="s">
        <v>321</v>
      </c>
      <c r="D143" s="2" t="b">
        <v>0</v>
      </c>
      <c r="E143" s="2" t="b">
        <v>1</v>
      </c>
      <c r="F143" s="2" t="s">
        <v>313</v>
      </c>
      <c r="G143" s="2"/>
      <c r="H143" s="2" t="s">
        <v>20</v>
      </c>
      <c r="I143" s="2" t="s">
        <v>322</v>
      </c>
      <c r="J143" s="2">
        <v>143</v>
      </c>
      <c r="K143" s="2">
        <v>0.1</v>
      </c>
      <c r="L143" s="2">
        <v>0.52</v>
      </c>
      <c r="M143" s="2" t="s">
        <v>315</v>
      </c>
      <c r="N143" s="5" t="s">
        <v>316</v>
      </c>
      <c r="O143" s="2">
        <v>2013</v>
      </c>
      <c r="P143" s="2" t="b">
        <v>0</v>
      </c>
    </row>
    <row r="144" spans="1:16">
      <c r="A144" s="2" t="s">
        <v>16</v>
      </c>
      <c r="B144" s="2" t="s">
        <v>200</v>
      </c>
      <c r="C144" s="2" t="s">
        <v>323</v>
      </c>
      <c r="D144" s="2" t="b">
        <v>0</v>
      </c>
      <c r="E144" s="2" t="b">
        <v>1</v>
      </c>
      <c r="F144" s="2" t="s">
        <v>33</v>
      </c>
      <c r="G144" s="2">
        <v>30</v>
      </c>
      <c r="H144" s="2" t="s">
        <v>324</v>
      </c>
      <c r="I144" s="2" t="s">
        <v>325</v>
      </c>
      <c r="J144" s="2">
        <v>811.11111111111109</v>
      </c>
      <c r="K144" s="2"/>
      <c r="L144" s="2">
        <v>0.49</v>
      </c>
      <c r="M144" s="2"/>
      <c r="N144" s="5" t="s">
        <v>326</v>
      </c>
      <c r="O144" s="2">
        <v>1990</v>
      </c>
      <c r="P144" s="2" t="b">
        <v>0</v>
      </c>
    </row>
    <row r="145" spans="1:16">
      <c r="A145" s="2" t="s">
        <v>16</v>
      </c>
      <c r="B145" s="2" t="s">
        <v>200</v>
      </c>
      <c r="C145" s="2" t="s">
        <v>216</v>
      </c>
      <c r="D145" s="2" t="b">
        <v>0</v>
      </c>
      <c r="E145" s="2" t="b">
        <v>1</v>
      </c>
      <c r="F145" s="2" t="s">
        <v>33</v>
      </c>
      <c r="G145" s="2">
        <v>30</v>
      </c>
      <c r="H145" s="2" t="s">
        <v>324</v>
      </c>
      <c r="I145" s="2" t="s">
        <v>327</v>
      </c>
      <c r="J145" s="2">
        <v>550</v>
      </c>
      <c r="K145" s="2"/>
      <c r="L145" s="2">
        <v>0.31</v>
      </c>
      <c r="M145" s="2"/>
      <c r="N145" s="5" t="s">
        <v>328</v>
      </c>
      <c r="O145" s="2">
        <v>1990</v>
      </c>
      <c r="P145" s="2" t="b">
        <v>0</v>
      </c>
    </row>
    <row r="146" spans="1:16">
      <c r="A146" s="2" t="s">
        <v>16</v>
      </c>
      <c r="B146" s="2" t="s">
        <v>329</v>
      </c>
      <c r="C146" s="2" t="s">
        <v>330</v>
      </c>
      <c r="D146" s="2" t="b">
        <v>0</v>
      </c>
      <c r="E146" s="2" t="b">
        <v>1</v>
      </c>
      <c r="F146" s="2" t="s">
        <v>33</v>
      </c>
      <c r="G146" s="2">
        <v>30</v>
      </c>
      <c r="H146" s="2" t="s">
        <v>324</v>
      </c>
      <c r="I146" s="2" t="s">
        <v>331</v>
      </c>
      <c r="J146" s="2">
        <v>116.6666666666667</v>
      </c>
      <c r="K146" s="2"/>
      <c r="L146" s="2">
        <v>0.55000000000000004</v>
      </c>
      <c r="M146" s="2"/>
      <c r="N146" s="5" t="s">
        <v>332</v>
      </c>
      <c r="O146" s="2">
        <v>1980</v>
      </c>
      <c r="P146" s="2" t="b">
        <v>0</v>
      </c>
    </row>
    <row r="147" spans="1:16">
      <c r="A147" s="2" t="s">
        <v>43</v>
      </c>
      <c r="B147" s="2" t="s">
        <v>333</v>
      </c>
      <c r="C147" s="2"/>
      <c r="D147" s="2" t="b">
        <v>1</v>
      </c>
      <c r="E147" s="2" t="b">
        <v>1</v>
      </c>
      <c r="F147" s="2" t="s">
        <v>19</v>
      </c>
      <c r="G147" s="2">
        <v>21</v>
      </c>
      <c r="H147" s="2" t="s">
        <v>467</v>
      </c>
      <c r="I147" s="2"/>
      <c r="J147" s="2">
        <v>2.7</v>
      </c>
      <c r="K147" s="2"/>
      <c r="L147" s="2">
        <v>1.7999999999999999E-2</v>
      </c>
      <c r="M147" s="2"/>
      <c r="N147" s="5" t="s">
        <v>334</v>
      </c>
      <c r="O147" s="2">
        <v>2012</v>
      </c>
      <c r="P147" s="2" t="b">
        <v>1</v>
      </c>
    </row>
    <row r="148" spans="1:16">
      <c r="A148" s="2" t="s">
        <v>43</v>
      </c>
      <c r="B148" s="2" t="s">
        <v>335</v>
      </c>
      <c r="C148" s="2"/>
      <c r="D148" s="2" t="b">
        <v>1</v>
      </c>
      <c r="E148" s="2" t="b">
        <v>1</v>
      </c>
      <c r="F148" s="2" t="s">
        <v>19</v>
      </c>
      <c r="G148" s="2">
        <v>20</v>
      </c>
      <c r="H148" s="2" t="s">
        <v>20</v>
      </c>
      <c r="I148" s="2"/>
      <c r="J148" s="2">
        <v>3.3</v>
      </c>
      <c r="K148" s="2"/>
      <c r="L148" s="2">
        <v>2.3E-2</v>
      </c>
      <c r="M148" s="2"/>
      <c r="N148" s="5" t="s">
        <v>336</v>
      </c>
      <c r="O148" s="2">
        <v>1999</v>
      </c>
      <c r="P148" s="2" t="b">
        <v>1</v>
      </c>
    </row>
    <row r="149" spans="1:16">
      <c r="A149" s="2" t="s">
        <v>43</v>
      </c>
      <c r="B149" s="2" t="s">
        <v>337</v>
      </c>
      <c r="C149" s="2"/>
      <c r="D149" s="2" t="b">
        <v>1</v>
      </c>
      <c r="E149" s="2" t="b">
        <v>1</v>
      </c>
      <c r="F149" s="2" t="s">
        <v>33</v>
      </c>
      <c r="G149" s="2">
        <v>22</v>
      </c>
      <c r="H149" s="2" t="s">
        <v>468</v>
      </c>
      <c r="I149" s="2"/>
      <c r="J149" s="2">
        <v>16</v>
      </c>
      <c r="K149" s="2"/>
      <c r="L149" s="2">
        <v>2.8000000000000001E-2</v>
      </c>
      <c r="M149" s="2"/>
      <c r="N149" s="5" t="s">
        <v>338</v>
      </c>
      <c r="O149" s="2">
        <v>1999</v>
      </c>
      <c r="P149" s="2" t="b">
        <v>1</v>
      </c>
    </row>
    <row r="150" spans="1:16">
      <c r="A150" s="2" t="s">
        <v>43</v>
      </c>
      <c r="B150" s="2" t="s">
        <v>339</v>
      </c>
      <c r="C150" s="2" t="s">
        <v>340</v>
      </c>
      <c r="D150" s="2" t="b">
        <v>1</v>
      </c>
      <c r="E150" s="2" t="b">
        <v>1</v>
      </c>
      <c r="F150" s="2" t="s">
        <v>33</v>
      </c>
      <c r="G150" s="2">
        <v>5</v>
      </c>
      <c r="H150" s="2" t="s">
        <v>468</v>
      </c>
      <c r="I150" s="2"/>
      <c r="J150" s="2">
        <v>2.5</v>
      </c>
      <c r="K150" s="2"/>
      <c r="L150" s="2">
        <v>3.3000000000000002E-2</v>
      </c>
      <c r="M150" s="2"/>
      <c r="N150" s="5" t="s">
        <v>338</v>
      </c>
      <c r="O150" s="2">
        <v>1999</v>
      </c>
      <c r="P150" s="2" t="b">
        <v>1</v>
      </c>
    </row>
    <row r="151" spans="1:16">
      <c r="A151" s="2" t="s">
        <v>43</v>
      </c>
      <c r="B151" s="2" t="s">
        <v>341</v>
      </c>
      <c r="C151" s="2" t="s">
        <v>342</v>
      </c>
      <c r="D151" s="2" t="b">
        <v>1</v>
      </c>
      <c r="E151" s="2" t="b">
        <v>1</v>
      </c>
      <c r="F151" s="2" t="s">
        <v>33</v>
      </c>
      <c r="G151" s="2">
        <v>20</v>
      </c>
      <c r="H151" s="2" t="s">
        <v>468</v>
      </c>
      <c r="I151" s="2"/>
      <c r="J151" s="2">
        <v>30</v>
      </c>
      <c r="K151" s="2"/>
      <c r="L151" s="2">
        <v>8.6999999999999994E-2</v>
      </c>
      <c r="M151" s="2"/>
      <c r="N151" s="5" t="s">
        <v>338</v>
      </c>
      <c r="O151" s="2">
        <v>1999</v>
      </c>
      <c r="P151" s="2" t="b">
        <v>1</v>
      </c>
    </row>
    <row r="152" spans="1:16">
      <c r="A152" s="2" t="s">
        <v>43</v>
      </c>
      <c r="B152" s="2" t="s">
        <v>337</v>
      </c>
      <c r="C152" s="2"/>
      <c r="D152" s="2" t="b">
        <v>1</v>
      </c>
      <c r="E152" s="2" t="b">
        <v>1</v>
      </c>
      <c r="F152" s="2" t="s">
        <v>33</v>
      </c>
      <c r="G152" s="2">
        <v>17</v>
      </c>
      <c r="H152" s="2" t="s">
        <v>468</v>
      </c>
      <c r="I152" s="2"/>
      <c r="J152" s="2">
        <v>14</v>
      </c>
      <c r="K152" s="2"/>
      <c r="L152" s="2">
        <v>2.5000000000000001E-2</v>
      </c>
      <c r="M152" s="2"/>
      <c r="N152" s="5" t="s">
        <v>338</v>
      </c>
      <c r="O152" s="2">
        <v>1999</v>
      </c>
      <c r="P152" s="2" t="b">
        <v>1</v>
      </c>
    </row>
    <row r="153" spans="1:16">
      <c r="A153" s="2" t="s">
        <v>43</v>
      </c>
      <c r="B153" s="2" t="s">
        <v>339</v>
      </c>
      <c r="C153" s="2" t="s">
        <v>340</v>
      </c>
      <c r="D153" s="2" t="b">
        <v>1</v>
      </c>
      <c r="E153" s="2" t="b">
        <v>1</v>
      </c>
      <c r="F153" s="2" t="s">
        <v>33</v>
      </c>
      <c r="G153" s="2">
        <v>3</v>
      </c>
      <c r="H153" s="2" t="s">
        <v>468</v>
      </c>
      <c r="I153" s="2"/>
      <c r="J153" s="2">
        <v>4.2</v>
      </c>
      <c r="K153" s="2"/>
      <c r="L153" s="2">
        <v>2.9000000000000001E-2</v>
      </c>
      <c r="M153" s="2"/>
      <c r="N153" s="5" t="s">
        <v>338</v>
      </c>
      <c r="O153" s="2">
        <v>1999</v>
      </c>
      <c r="P153" s="2" t="b">
        <v>1</v>
      </c>
    </row>
    <row r="154" spans="1:16">
      <c r="A154" s="2" t="s">
        <v>43</v>
      </c>
      <c r="B154" s="2" t="s">
        <v>341</v>
      </c>
      <c r="C154" s="2" t="s">
        <v>342</v>
      </c>
      <c r="D154" s="2" t="b">
        <v>1</v>
      </c>
      <c r="E154" s="2" t="b">
        <v>1</v>
      </c>
      <c r="F154" s="2" t="s">
        <v>33</v>
      </c>
      <c r="G154" s="2">
        <v>15</v>
      </c>
      <c r="H154" s="2" t="s">
        <v>468</v>
      </c>
      <c r="I154" s="2"/>
      <c r="J154" s="2">
        <v>18</v>
      </c>
      <c r="K154" s="2"/>
      <c r="L154" s="2">
        <v>5.8999999999999997E-2</v>
      </c>
      <c r="M154" s="2"/>
      <c r="N154" s="5" t="s">
        <v>338</v>
      </c>
      <c r="O154" s="2">
        <v>1999</v>
      </c>
      <c r="P154" s="2" t="b">
        <v>1</v>
      </c>
    </row>
    <row r="155" spans="1:16">
      <c r="A155" s="2" t="s">
        <v>43</v>
      </c>
      <c r="B155" s="2" t="s">
        <v>337</v>
      </c>
      <c r="C155" s="2"/>
      <c r="D155" s="2" t="b">
        <v>1</v>
      </c>
      <c r="E155" s="2" t="b">
        <v>1</v>
      </c>
      <c r="F155" s="2" t="s">
        <v>33</v>
      </c>
      <c r="G155" s="2">
        <v>12</v>
      </c>
      <c r="H155" s="2" t="s">
        <v>468</v>
      </c>
      <c r="I155" s="2"/>
      <c r="J155" s="2">
        <v>5.3</v>
      </c>
      <c r="K155" s="2"/>
      <c r="L155" s="2">
        <v>1.9E-2</v>
      </c>
      <c r="M155" s="2"/>
      <c r="N155" s="5" t="s">
        <v>338</v>
      </c>
      <c r="O155" s="2">
        <v>1999</v>
      </c>
      <c r="P155" s="2" t="b">
        <v>1</v>
      </c>
    </row>
    <row r="156" spans="1:16">
      <c r="A156" s="2" t="s">
        <v>43</v>
      </c>
      <c r="B156" s="2" t="s">
        <v>341</v>
      </c>
      <c r="C156" s="2" t="s">
        <v>342</v>
      </c>
      <c r="D156" s="2" t="b">
        <v>1</v>
      </c>
      <c r="E156" s="2" t="b">
        <v>1</v>
      </c>
      <c r="F156" s="2" t="s">
        <v>33</v>
      </c>
      <c r="G156" s="2">
        <v>10</v>
      </c>
      <c r="H156" s="2" t="s">
        <v>468</v>
      </c>
      <c r="I156" s="2"/>
      <c r="J156" s="2">
        <v>18</v>
      </c>
      <c r="K156" s="2"/>
      <c r="L156" s="2">
        <v>5.8000000000000003E-2</v>
      </c>
      <c r="M156" s="2"/>
      <c r="N156" s="5" t="s">
        <v>338</v>
      </c>
      <c r="O156" s="2">
        <v>1999</v>
      </c>
      <c r="P156" s="2" t="b">
        <v>1</v>
      </c>
    </row>
    <row r="157" spans="1:16">
      <c r="A157" s="2" t="s">
        <v>43</v>
      </c>
      <c r="B157" s="2" t="s">
        <v>341</v>
      </c>
      <c r="C157" s="2" t="s">
        <v>342</v>
      </c>
      <c r="D157" s="2" t="b">
        <v>1</v>
      </c>
      <c r="E157" s="2" t="b">
        <v>1</v>
      </c>
      <c r="F157" s="2" t="s">
        <v>33</v>
      </c>
      <c r="G157" s="2">
        <v>25</v>
      </c>
      <c r="H157" s="2" t="s">
        <v>468</v>
      </c>
      <c r="I157" s="2"/>
      <c r="J157" s="2">
        <v>30</v>
      </c>
      <c r="K157" s="2"/>
      <c r="L157" s="2">
        <v>5.8000000000000003E-2</v>
      </c>
      <c r="M157" s="2"/>
      <c r="N157" s="5" t="s">
        <v>338</v>
      </c>
      <c r="O157" s="2">
        <v>1999</v>
      </c>
      <c r="P157" s="2" t="b">
        <v>1</v>
      </c>
    </row>
    <row r="158" spans="1:16">
      <c r="A158" s="2" t="s">
        <v>43</v>
      </c>
      <c r="B158" s="2" t="s">
        <v>53</v>
      </c>
      <c r="C158" s="2"/>
      <c r="D158" s="2" t="b">
        <v>1</v>
      </c>
      <c r="E158" s="2" t="b">
        <v>1</v>
      </c>
      <c r="F158" s="2" t="s">
        <v>19</v>
      </c>
      <c r="G158" s="2">
        <v>20</v>
      </c>
      <c r="H158" s="2"/>
      <c r="I158" s="2"/>
      <c r="J158" s="2">
        <v>0.37</v>
      </c>
      <c r="K158" s="2"/>
      <c r="L158" s="2">
        <v>5.7000000000000002E-2</v>
      </c>
      <c r="M158" s="2"/>
      <c r="N158" s="5" t="s">
        <v>343</v>
      </c>
      <c r="O158" s="2">
        <v>1975</v>
      </c>
      <c r="P158" s="2" t="b">
        <v>1</v>
      </c>
    </row>
    <row r="159" spans="1:16">
      <c r="A159" s="2" t="s">
        <v>43</v>
      </c>
      <c r="B159" s="2" t="s">
        <v>53</v>
      </c>
      <c r="C159" s="2"/>
      <c r="D159" s="2" t="b">
        <v>1</v>
      </c>
      <c r="E159" s="2" t="b">
        <v>1</v>
      </c>
      <c r="F159" s="2" t="s">
        <v>19</v>
      </c>
      <c r="G159" s="2">
        <v>24</v>
      </c>
      <c r="H159" s="2"/>
      <c r="I159" s="2"/>
      <c r="J159" s="2">
        <v>0.38</v>
      </c>
      <c r="K159" s="2"/>
      <c r="L159" s="2">
        <v>8.3000000000000004E-2</v>
      </c>
      <c r="M159" s="2"/>
      <c r="N159" s="5" t="s">
        <v>343</v>
      </c>
      <c r="O159" s="2">
        <v>1975</v>
      </c>
      <c r="P159" s="2" t="b">
        <v>1</v>
      </c>
    </row>
    <row r="160" spans="1:16">
      <c r="A160" s="2" t="s">
        <v>43</v>
      </c>
      <c r="B160" s="2" t="s">
        <v>53</v>
      </c>
      <c r="C160" s="2"/>
      <c r="D160" s="2" t="b">
        <v>1</v>
      </c>
      <c r="E160" s="2" t="b">
        <v>1</v>
      </c>
      <c r="F160" s="2" t="s">
        <v>19</v>
      </c>
      <c r="G160" s="2">
        <v>27</v>
      </c>
      <c r="H160" s="2"/>
      <c r="I160" s="2"/>
      <c r="J160" s="2">
        <v>0.38</v>
      </c>
      <c r="K160" s="2"/>
      <c r="L160" s="2">
        <v>5.8999999999999997E-2</v>
      </c>
      <c r="M160" s="2"/>
      <c r="N160" s="5" t="s">
        <v>343</v>
      </c>
      <c r="O160" s="2">
        <v>1975</v>
      </c>
      <c r="P160" s="2" t="b">
        <v>1</v>
      </c>
    </row>
    <row r="161" spans="1:21">
      <c r="A161" s="2" t="s">
        <v>43</v>
      </c>
      <c r="B161" s="2" t="s">
        <v>53</v>
      </c>
      <c r="C161" s="2"/>
      <c r="D161" s="2" t="b">
        <v>1</v>
      </c>
      <c r="E161" s="2" t="b">
        <v>1</v>
      </c>
      <c r="F161" s="2" t="s">
        <v>19</v>
      </c>
      <c r="G161" s="2">
        <v>28</v>
      </c>
      <c r="H161" s="2"/>
      <c r="I161" s="2"/>
      <c r="J161" s="2">
        <v>0.38</v>
      </c>
      <c r="K161" s="2"/>
      <c r="L161" s="2">
        <v>5.8000000000000003E-2</v>
      </c>
      <c r="M161" s="2"/>
      <c r="N161" s="5" t="s">
        <v>343</v>
      </c>
      <c r="O161" s="2">
        <v>1975</v>
      </c>
      <c r="P161" s="2" t="b">
        <v>1</v>
      </c>
      <c r="Q161" s="2"/>
      <c r="R161" s="2"/>
      <c r="S161" s="2"/>
      <c r="T161" s="2"/>
      <c r="U161" s="2"/>
    </row>
    <row r="162" spans="1:21">
      <c r="A162" s="2" t="s">
        <v>43</v>
      </c>
      <c r="B162" s="2" t="s">
        <v>53</v>
      </c>
      <c r="C162" s="2"/>
      <c r="D162" s="2" t="b">
        <v>1</v>
      </c>
      <c r="E162" s="2" t="b">
        <v>1</v>
      </c>
      <c r="F162" s="2" t="s">
        <v>19</v>
      </c>
      <c r="G162" s="2">
        <v>33</v>
      </c>
      <c r="H162" s="2"/>
      <c r="I162" s="2"/>
      <c r="J162" s="2">
        <v>0.39</v>
      </c>
      <c r="K162" s="2"/>
      <c r="L162" s="2">
        <v>5.2999999999999999E-2</v>
      </c>
      <c r="M162" s="2"/>
      <c r="N162" s="5" t="s">
        <v>343</v>
      </c>
      <c r="O162" s="2">
        <v>1975</v>
      </c>
      <c r="P162" s="2" t="b">
        <v>1</v>
      </c>
      <c r="Q162" s="2"/>
      <c r="R162" s="2"/>
      <c r="S162" s="2"/>
      <c r="T162" s="2"/>
      <c r="U162" s="2"/>
    </row>
    <row r="163" spans="1:21">
      <c r="A163" s="2" t="s">
        <v>43</v>
      </c>
      <c r="B163" s="2" t="s">
        <v>53</v>
      </c>
      <c r="C163" s="2"/>
      <c r="D163" s="2" t="b">
        <v>1</v>
      </c>
      <c r="E163" s="2" t="b">
        <v>1</v>
      </c>
      <c r="F163" s="2" t="s">
        <v>470</v>
      </c>
      <c r="G163" s="2">
        <v>20</v>
      </c>
      <c r="H163" s="2" t="s">
        <v>469</v>
      </c>
      <c r="I163" s="2"/>
      <c r="J163" s="2">
        <v>2.8999999999999998E-3</v>
      </c>
      <c r="K163" s="2"/>
      <c r="L163" s="2">
        <v>4.9000000000000002E-2</v>
      </c>
      <c r="M163" s="2"/>
      <c r="N163" s="5" t="s">
        <v>344</v>
      </c>
      <c r="O163" s="2">
        <v>1978</v>
      </c>
      <c r="P163" s="2" t="b">
        <v>1</v>
      </c>
      <c r="Q163" s="2"/>
      <c r="R163" s="2"/>
      <c r="S163" s="2"/>
      <c r="T163" s="2"/>
      <c r="U163" s="2"/>
    </row>
    <row r="164" spans="1:21">
      <c r="A164" s="2" t="s">
        <v>43</v>
      </c>
      <c r="B164" s="2" t="s">
        <v>345</v>
      </c>
      <c r="C164" s="2" t="s">
        <v>346</v>
      </c>
      <c r="D164" s="2" t="b">
        <v>1</v>
      </c>
      <c r="E164" s="2" t="b">
        <v>1</v>
      </c>
      <c r="F164" s="2" t="s">
        <v>19</v>
      </c>
      <c r="G164" s="2">
        <v>20</v>
      </c>
      <c r="H164" s="2" t="s">
        <v>471</v>
      </c>
      <c r="I164" s="2"/>
      <c r="J164" s="2">
        <v>1</v>
      </c>
      <c r="K164" s="2"/>
      <c r="L164" s="2">
        <v>1.4E-2</v>
      </c>
      <c r="M164" s="2"/>
      <c r="N164" s="5" t="s">
        <v>347</v>
      </c>
      <c r="O164" s="2">
        <v>2005</v>
      </c>
      <c r="P164" s="2" t="b">
        <v>1</v>
      </c>
      <c r="Q164" s="2"/>
      <c r="R164" s="2"/>
      <c r="S164" s="2"/>
      <c r="T164" s="2"/>
      <c r="U164" s="2"/>
    </row>
    <row r="165" spans="1:21">
      <c r="A165" s="2" t="s">
        <v>43</v>
      </c>
      <c r="B165" s="2" t="s">
        <v>348</v>
      </c>
      <c r="C165" s="2" t="s">
        <v>349</v>
      </c>
      <c r="D165" s="2" t="b">
        <v>1</v>
      </c>
      <c r="E165" s="2" t="b">
        <v>1</v>
      </c>
      <c r="F165" s="2" t="s">
        <v>19</v>
      </c>
      <c r="G165" s="2">
        <v>20</v>
      </c>
      <c r="H165" s="2" t="s">
        <v>471</v>
      </c>
      <c r="I165" s="2"/>
      <c r="J165" s="2">
        <v>1</v>
      </c>
      <c r="K165" s="2"/>
      <c r="L165" s="2">
        <v>2.8000000000000001E-2</v>
      </c>
      <c r="M165" s="2"/>
      <c r="N165" s="5" t="s">
        <v>347</v>
      </c>
      <c r="O165" s="2">
        <v>2005</v>
      </c>
      <c r="P165" s="2" t="b">
        <v>1</v>
      </c>
      <c r="Q165" s="2"/>
      <c r="R165" s="2"/>
      <c r="S165" s="2"/>
      <c r="T165" s="2"/>
      <c r="U165" s="2"/>
    </row>
    <row r="166" spans="1:21">
      <c r="A166" s="2" t="s">
        <v>43</v>
      </c>
      <c r="B166" s="2" t="s">
        <v>350</v>
      </c>
      <c r="C166" s="2" t="s">
        <v>351</v>
      </c>
      <c r="D166" s="2" t="b">
        <v>1</v>
      </c>
      <c r="E166" s="2" t="b">
        <v>0</v>
      </c>
      <c r="F166" s="2" t="s">
        <v>19</v>
      </c>
      <c r="G166" s="2">
        <v>20</v>
      </c>
      <c r="H166" s="2" t="s">
        <v>471</v>
      </c>
      <c r="I166" s="2"/>
      <c r="J166" s="2">
        <v>2.6</v>
      </c>
      <c r="K166" s="2"/>
      <c r="L166" s="2">
        <v>1.7999999999999999E-2</v>
      </c>
      <c r="M166" s="2"/>
      <c r="N166" s="5" t="s">
        <v>347</v>
      </c>
      <c r="O166" s="2">
        <v>2005</v>
      </c>
      <c r="P166" s="2" t="b">
        <v>1</v>
      </c>
    </row>
    <row r="167" spans="1:21" s="2" customFormat="1">
      <c r="A167" s="2" t="s">
        <v>31</v>
      </c>
      <c r="B167" s="2" t="s">
        <v>352</v>
      </c>
      <c r="D167" s="2" t="b">
        <v>1</v>
      </c>
      <c r="E167" s="2" t="b">
        <v>0</v>
      </c>
      <c r="G167" s="2">
        <v>24</v>
      </c>
      <c r="J167" s="2">
        <v>3.5999999999999997E-2</v>
      </c>
      <c r="L167" s="2">
        <v>2.3E-2</v>
      </c>
      <c r="N167" s="5" t="s">
        <v>353</v>
      </c>
      <c r="O167" s="2">
        <v>1977</v>
      </c>
      <c r="P167" s="2" t="b">
        <v>1</v>
      </c>
    </row>
    <row r="168" spans="1:21" s="2" customFormat="1">
      <c r="A168" s="2" t="s">
        <v>31</v>
      </c>
      <c r="B168" s="2" t="s">
        <v>352</v>
      </c>
      <c r="D168" s="2" t="b">
        <v>1</v>
      </c>
      <c r="E168" s="2" t="b">
        <v>0</v>
      </c>
      <c r="G168" s="2">
        <v>15.5</v>
      </c>
      <c r="H168" s="2" t="s">
        <v>34</v>
      </c>
      <c r="J168" s="2">
        <v>2.8000000000000001E-2</v>
      </c>
      <c r="L168" s="2">
        <v>2.7E-2</v>
      </c>
      <c r="M168" s="2" t="s">
        <v>35</v>
      </c>
      <c r="N168" s="5" t="s">
        <v>354</v>
      </c>
      <c r="O168" s="2">
        <v>1978</v>
      </c>
      <c r="P168" s="2" t="b">
        <v>1</v>
      </c>
    </row>
    <row r="169" spans="1:21" s="2" customFormat="1">
      <c r="A169" s="2" t="s">
        <v>31</v>
      </c>
      <c r="B169" s="2" t="s">
        <v>352</v>
      </c>
      <c r="D169" s="2" t="b">
        <v>1</v>
      </c>
      <c r="E169" s="2" t="b">
        <v>0</v>
      </c>
      <c r="G169" s="2">
        <v>20.5</v>
      </c>
      <c r="H169" s="2" t="s">
        <v>34</v>
      </c>
      <c r="J169" s="2">
        <v>8.9999999999999993E-3</v>
      </c>
      <c r="L169" s="2">
        <v>2.5000000000000001E-2</v>
      </c>
      <c r="M169" s="2" t="s">
        <v>37</v>
      </c>
      <c r="N169" s="5" t="s">
        <v>354</v>
      </c>
      <c r="O169" s="2">
        <v>1978</v>
      </c>
      <c r="P169" s="2" t="b">
        <v>1</v>
      </c>
    </row>
    <row r="170" spans="1:21" s="2" customFormat="1">
      <c r="A170" s="2" t="s">
        <v>31</v>
      </c>
      <c r="B170" s="2" t="s">
        <v>352</v>
      </c>
      <c r="D170" s="2" t="b">
        <v>1</v>
      </c>
      <c r="E170" s="2" t="b">
        <v>0</v>
      </c>
      <c r="G170" s="2">
        <v>25.5</v>
      </c>
      <c r="H170" s="2" t="s">
        <v>34</v>
      </c>
      <c r="J170" s="2">
        <v>1.7000000000000001E-2</v>
      </c>
      <c r="L170" s="2">
        <v>0.02</v>
      </c>
      <c r="M170" s="2" t="s">
        <v>38</v>
      </c>
      <c r="N170" s="5" t="s">
        <v>354</v>
      </c>
      <c r="O170" s="2">
        <v>1978</v>
      </c>
      <c r="P170" s="2" t="b">
        <v>1</v>
      </c>
    </row>
    <row r="171" spans="1:21">
      <c r="A171" s="2" t="s">
        <v>31</v>
      </c>
      <c r="B171" s="2" t="s">
        <v>355</v>
      </c>
      <c r="C171" s="2"/>
      <c r="D171" s="2" t="b">
        <v>1</v>
      </c>
      <c r="E171" s="2" t="b">
        <v>1</v>
      </c>
      <c r="F171" s="2" t="s">
        <v>33</v>
      </c>
      <c r="G171" s="2">
        <v>5</v>
      </c>
      <c r="H171" s="2" t="s">
        <v>34</v>
      </c>
      <c r="I171" s="2"/>
      <c r="J171" s="2">
        <v>1.9E-2</v>
      </c>
      <c r="K171" s="2"/>
      <c r="L171" s="2">
        <v>1.2E-2</v>
      </c>
      <c r="M171" s="2"/>
      <c r="N171" s="5" t="s">
        <v>356</v>
      </c>
      <c r="O171" s="2">
        <v>1987</v>
      </c>
      <c r="P171" s="2" t="b">
        <v>1</v>
      </c>
    </row>
    <row r="172" spans="1:21">
      <c r="A172" s="2" t="s">
        <v>31</v>
      </c>
      <c r="B172" s="2" t="s">
        <v>355</v>
      </c>
      <c r="C172" s="2"/>
      <c r="D172" s="2" t="b">
        <v>1</v>
      </c>
      <c r="E172" s="2" t="b">
        <v>1</v>
      </c>
      <c r="F172" s="2" t="s">
        <v>33</v>
      </c>
      <c r="G172" s="2">
        <v>10</v>
      </c>
      <c r="H172" s="2" t="s">
        <v>34</v>
      </c>
      <c r="I172" s="2"/>
      <c r="J172" s="2">
        <v>1.2E-2</v>
      </c>
      <c r="K172" s="2"/>
      <c r="L172" s="2">
        <v>1.4999999999999999E-2</v>
      </c>
      <c r="M172" s="2"/>
      <c r="N172" s="5" t="s">
        <v>356</v>
      </c>
      <c r="O172" s="2">
        <v>1987</v>
      </c>
      <c r="P172" s="2" t="b">
        <v>1</v>
      </c>
    </row>
    <row r="173" spans="1:21">
      <c r="A173" s="2" t="s">
        <v>31</v>
      </c>
      <c r="B173" s="2" t="s">
        <v>355</v>
      </c>
      <c r="C173" s="2"/>
      <c r="D173" s="2" t="b">
        <v>1</v>
      </c>
      <c r="E173" s="2" t="b">
        <v>1</v>
      </c>
      <c r="F173" s="2" t="s">
        <v>33</v>
      </c>
      <c r="G173" s="2">
        <v>15</v>
      </c>
      <c r="H173" s="2" t="s">
        <v>34</v>
      </c>
      <c r="I173" s="2"/>
      <c r="J173" s="2">
        <v>1.7000000000000001E-2</v>
      </c>
      <c r="K173" s="2"/>
      <c r="L173" s="2">
        <v>2.5999999999999999E-2</v>
      </c>
      <c r="M173" s="2"/>
      <c r="N173" s="5" t="s">
        <v>356</v>
      </c>
      <c r="O173" s="2">
        <v>1987</v>
      </c>
      <c r="P173" s="2" t="b">
        <v>1</v>
      </c>
    </row>
    <row r="174" spans="1:21">
      <c r="A174" s="2" t="s">
        <v>31</v>
      </c>
      <c r="B174" s="2" t="s">
        <v>355</v>
      </c>
      <c r="C174" s="2"/>
      <c r="D174" s="2" t="b">
        <v>1</v>
      </c>
      <c r="E174" s="2" t="b">
        <v>1</v>
      </c>
      <c r="F174" s="2" t="s">
        <v>33</v>
      </c>
      <c r="G174" s="2">
        <v>20</v>
      </c>
      <c r="H174" s="2" t="s">
        <v>34</v>
      </c>
      <c r="I174" s="2"/>
      <c r="J174" s="2">
        <v>1.4999999999999999E-2</v>
      </c>
      <c r="K174" s="2"/>
      <c r="L174" s="2">
        <v>4.2999999999999997E-2</v>
      </c>
      <c r="M174" s="2"/>
      <c r="N174" s="5" t="s">
        <v>356</v>
      </c>
      <c r="O174" s="2">
        <v>1987</v>
      </c>
      <c r="P174" s="2" t="b">
        <v>1</v>
      </c>
    </row>
    <row r="175" spans="1:21">
      <c r="A175" s="2" t="s">
        <v>31</v>
      </c>
      <c r="B175" s="2" t="s">
        <v>355</v>
      </c>
      <c r="C175" s="2"/>
      <c r="D175" s="2" t="b">
        <v>1</v>
      </c>
      <c r="E175" s="2" t="b">
        <v>1</v>
      </c>
      <c r="F175" s="2" t="s">
        <v>33</v>
      </c>
      <c r="G175" s="2">
        <v>25</v>
      </c>
      <c r="H175" s="2" t="s">
        <v>34</v>
      </c>
      <c r="I175" s="2"/>
      <c r="J175" s="2">
        <v>2.2000000000000001E-3</v>
      </c>
      <c r="K175" s="2"/>
      <c r="L175" s="2">
        <v>4.5999999999999999E-2</v>
      </c>
      <c r="M175" s="2"/>
      <c r="N175" s="5" t="s">
        <v>356</v>
      </c>
      <c r="O175" s="2">
        <v>1987</v>
      </c>
      <c r="P175" s="2" t="b">
        <v>1</v>
      </c>
    </row>
    <row r="176" spans="1:21">
      <c r="A176" s="2" t="s">
        <v>31</v>
      </c>
      <c r="B176" s="2" t="s">
        <v>357</v>
      </c>
      <c r="C176" s="2" t="s">
        <v>358</v>
      </c>
      <c r="D176" s="2" t="b">
        <v>1</v>
      </c>
      <c r="E176" s="2" t="b">
        <v>1</v>
      </c>
      <c r="F176" s="2" t="s">
        <v>19</v>
      </c>
      <c r="G176" s="2">
        <v>10</v>
      </c>
      <c r="H176" s="2" t="s">
        <v>468</v>
      </c>
      <c r="I176" s="2"/>
      <c r="J176" s="2">
        <v>6.6E-3</v>
      </c>
      <c r="K176" s="2"/>
      <c r="L176" s="2">
        <v>8.6999999999999994E-3</v>
      </c>
      <c r="M176" s="2"/>
      <c r="N176" s="5" t="s">
        <v>359</v>
      </c>
      <c r="O176" s="2">
        <v>2009</v>
      </c>
      <c r="P176" s="2" t="b">
        <v>1</v>
      </c>
    </row>
    <row r="177" spans="1:16">
      <c r="A177" s="2" t="s">
        <v>31</v>
      </c>
      <c r="B177" s="2" t="s">
        <v>357</v>
      </c>
      <c r="C177" s="2" t="s">
        <v>358</v>
      </c>
      <c r="D177" s="2" t="b">
        <v>1</v>
      </c>
      <c r="E177" s="2" t="b">
        <v>1</v>
      </c>
      <c r="F177" s="2" t="s">
        <v>19</v>
      </c>
      <c r="G177" s="2">
        <v>20</v>
      </c>
      <c r="H177" s="2" t="s">
        <v>468</v>
      </c>
      <c r="I177" s="2"/>
      <c r="J177" s="2">
        <v>3.2000000000000002E-3</v>
      </c>
      <c r="K177" s="2"/>
      <c r="L177" s="2">
        <v>2.3E-2</v>
      </c>
      <c r="M177" s="2"/>
      <c r="N177" s="5" t="s">
        <v>359</v>
      </c>
      <c r="O177" s="2">
        <v>2009</v>
      </c>
      <c r="P177" s="2" t="b">
        <v>1</v>
      </c>
    </row>
    <row r="178" spans="1:16">
      <c r="A178" s="2" t="s">
        <v>31</v>
      </c>
      <c r="B178" s="2" t="s">
        <v>360</v>
      </c>
      <c r="C178" s="2"/>
      <c r="D178" s="2" t="b">
        <v>1</v>
      </c>
      <c r="E178" s="2" t="b">
        <v>0</v>
      </c>
      <c r="F178" s="2"/>
      <c r="G178" s="2">
        <v>23</v>
      </c>
      <c r="H178" s="2"/>
      <c r="I178" s="2"/>
      <c r="J178" s="2">
        <v>0.65</v>
      </c>
      <c r="K178" s="2"/>
      <c r="L178" s="2">
        <v>2.8000000000000001E-2</v>
      </c>
      <c r="M178" s="2"/>
      <c r="N178" s="5" t="s">
        <v>361</v>
      </c>
      <c r="O178" s="2">
        <v>2007</v>
      </c>
      <c r="P178" s="2" t="b">
        <v>1</v>
      </c>
    </row>
    <row r="179" spans="1:16">
      <c r="A179" s="2" t="s">
        <v>31</v>
      </c>
      <c r="B179" s="2" t="s">
        <v>362</v>
      </c>
      <c r="C179" s="2"/>
      <c r="D179" s="2" t="b">
        <v>1</v>
      </c>
      <c r="E179" s="2" t="b">
        <v>0</v>
      </c>
      <c r="F179" s="2" t="s">
        <v>19</v>
      </c>
      <c r="G179" s="2">
        <v>24</v>
      </c>
      <c r="H179" s="2"/>
      <c r="I179" s="2"/>
      <c r="J179" s="2">
        <v>0.33</v>
      </c>
      <c r="K179" s="2"/>
      <c r="L179" s="2">
        <v>3.6999999999999998E-2</v>
      </c>
      <c r="M179" s="2"/>
      <c r="N179" s="5" t="s">
        <v>363</v>
      </c>
      <c r="O179" s="2">
        <v>1984</v>
      </c>
      <c r="P179" s="2" t="b">
        <v>1</v>
      </c>
    </row>
    <row r="180" spans="1:16">
      <c r="A180" s="2" t="s">
        <v>31</v>
      </c>
      <c r="B180" s="2" t="s">
        <v>53</v>
      </c>
      <c r="C180" s="2"/>
      <c r="D180" s="2" t="b">
        <v>1</v>
      </c>
      <c r="E180" s="2" t="b">
        <v>1</v>
      </c>
      <c r="F180" s="2" t="s">
        <v>19</v>
      </c>
      <c r="G180" s="2">
        <v>24</v>
      </c>
      <c r="H180" s="2"/>
      <c r="I180" s="2"/>
      <c r="J180" s="2">
        <v>0.17</v>
      </c>
      <c r="K180" s="2"/>
      <c r="L180" s="2">
        <v>6.8000000000000005E-2</v>
      </c>
      <c r="M180" s="2"/>
      <c r="N180" s="5" t="s">
        <v>363</v>
      </c>
      <c r="O180" s="2">
        <v>1984</v>
      </c>
      <c r="P180" s="2" t="b">
        <v>1</v>
      </c>
    </row>
    <row r="181" spans="1:16">
      <c r="A181" s="2" t="s">
        <v>31</v>
      </c>
      <c r="B181" s="2" t="s">
        <v>364</v>
      </c>
      <c r="C181" s="2" t="s">
        <v>365</v>
      </c>
      <c r="D181" s="2" t="b">
        <v>1</v>
      </c>
      <c r="E181" s="2" t="b">
        <v>0</v>
      </c>
      <c r="F181" s="2" t="s">
        <v>107</v>
      </c>
      <c r="G181" s="2">
        <v>25</v>
      </c>
      <c r="H181" s="2" t="s">
        <v>472</v>
      </c>
      <c r="I181" s="2"/>
      <c r="J181" s="2">
        <v>0.14000000000000001</v>
      </c>
      <c r="K181" s="2"/>
      <c r="L181" s="2">
        <v>0.01</v>
      </c>
      <c r="M181" s="2"/>
      <c r="N181" s="5" t="s">
        <v>366</v>
      </c>
      <c r="O181" s="2">
        <v>2005</v>
      </c>
      <c r="P181" s="2" t="b">
        <v>1</v>
      </c>
    </row>
    <row r="182" spans="1:16">
      <c r="A182" s="2" t="s">
        <v>31</v>
      </c>
      <c r="B182" s="2" t="s">
        <v>364</v>
      </c>
      <c r="C182" s="2" t="s">
        <v>367</v>
      </c>
      <c r="D182" s="2" t="b">
        <v>1</v>
      </c>
      <c r="E182" s="2" t="b">
        <v>0</v>
      </c>
      <c r="F182" s="2" t="s">
        <v>107</v>
      </c>
      <c r="G182" s="2">
        <v>25</v>
      </c>
      <c r="H182" s="2" t="s">
        <v>472</v>
      </c>
      <c r="I182" s="2"/>
      <c r="J182" s="2">
        <v>0.22</v>
      </c>
      <c r="K182" s="2"/>
      <c r="L182" s="2">
        <v>7.4999999999999997E-3</v>
      </c>
      <c r="M182" s="2"/>
      <c r="N182" s="5" t="s">
        <v>366</v>
      </c>
      <c r="O182" s="2">
        <v>2005</v>
      </c>
      <c r="P182" s="2" t="b">
        <v>1</v>
      </c>
    </row>
    <row r="183" spans="1:16">
      <c r="A183" s="2" t="s">
        <v>31</v>
      </c>
      <c r="B183" s="2" t="s">
        <v>368</v>
      </c>
      <c r="C183" s="2" t="s">
        <v>369</v>
      </c>
      <c r="D183" s="2" t="b">
        <v>1</v>
      </c>
      <c r="E183" s="2" t="b">
        <v>1</v>
      </c>
      <c r="F183" s="2" t="s">
        <v>33</v>
      </c>
      <c r="G183" s="2">
        <v>18.8</v>
      </c>
      <c r="H183" s="2" t="s">
        <v>20</v>
      </c>
      <c r="I183" s="2"/>
      <c r="J183" s="2">
        <v>1.4E-2</v>
      </c>
      <c r="K183" s="2"/>
      <c r="L183" s="2">
        <v>4.2000000000000003E-2</v>
      </c>
      <c r="M183" s="2" t="s">
        <v>370</v>
      </c>
      <c r="N183" s="5" t="s">
        <v>371</v>
      </c>
      <c r="O183" s="2">
        <v>1977</v>
      </c>
      <c r="P183" s="2" t="b">
        <v>1</v>
      </c>
    </row>
    <row r="184" spans="1:16">
      <c r="A184" s="2" t="s">
        <v>31</v>
      </c>
      <c r="B184" s="2" t="s">
        <v>372</v>
      </c>
      <c r="C184" s="2"/>
      <c r="D184" s="2" t="b">
        <v>1</v>
      </c>
      <c r="E184" s="2" t="b">
        <v>1</v>
      </c>
      <c r="F184" s="2" t="s">
        <v>19</v>
      </c>
      <c r="G184" s="2">
        <v>12</v>
      </c>
      <c r="H184" s="2"/>
      <c r="I184" s="2"/>
      <c r="J184" s="2">
        <v>7.1000000000000004E-3</v>
      </c>
      <c r="K184" s="2"/>
      <c r="L184" s="2">
        <v>3.3000000000000002E-2</v>
      </c>
      <c r="M184" s="2"/>
      <c r="N184" s="5" t="s">
        <v>373</v>
      </c>
      <c r="O184" s="2">
        <v>1989</v>
      </c>
      <c r="P184" s="2" t="b">
        <v>1</v>
      </c>
    </row>
    <row r="185" spans="1:16">
      <c r="A185" s="2" t="s">
        <v>31</v>
      </c>
      <c r="B185" s="2" t="s">
        <v>374</v>
      </c>
      <c r="C185" s="2"/>
      <c r="D185" s="2" t="b">
        <v>1</v>
      </c>
      <c r="E185" s="2" t="b">
        <v>1</v>
      </c>
      <c r="F185" s="2" t="s">
        <v>19</v>
      </c>
      <c r="G185" s="2">
        <v>12</v>
      </c>
      <c r="H185" s="2"/>
      <c r="I185" s="2"/>
      <c r="J185" s="2">
        <v>2.1999999999999999E-2</v>
      </c>
      <c r="K185" s="2"/>
      <c r="L185" s="2">
        <v>3.4000000000000002E-2</v>
      </c>
      <c r="M185" s="2"/>
      <c r="N185" s="5" t="s">
        <v>373</v>
      </c>
      <c r="O185" s="2">
        <v>1989</v>
      </c>
      <c r="P185" s="2" t="b">
        <v>1</v>
      </c>
    </row>
    <row r="186" spans="1:16">
      <c r="A186" s="2" t="s">
        <v>31</v>
      </c>
      <c r="B186" s="2" t="s">
        <v>375</v>
      </c>
      <c r="C186" s="2"/>
      <c r="D186" s="2" t="b">
        <v>1</v>
      </c>
      <c r="E186" s="2" t="b">
        <v>1</v>
      </c>
      <c r="F186" s="2" t="s">
        <v>19</v>
      </c>
      <c r="G186" s="2">
        <v>12</v>
      </c>
      <c r="H186" s="2"/>
      <c r="I186" s="2"/>
      <c r="J186" s="2">
        <v>1.4E-2</v>
      </c>
      <c r="K186" s="2"/>
      <c r="L186" s="2">
        <v>0.02</v>
      </c>
      <c r="M186" s="2"/>
      <c r="N186" s="5" t="s">
        <v>373</v>
      </c>
      <c r="O186" s="2">
        <v>1989</v>
      </c>
      <c r="P186" s="2" t="b">
        <v>1</v>
      </c>
    </row>
    <row r="187" spans="1:16">
      <c r="A187" s="2" t="s">
        <v>31</v>
      </c>
      <c r="B187" s="2" t="s">
        <v>376</v>
      </c>
      <c r="C187" s="2"/>
      <c r="D187" s="2" t="b">
        <v>1</v>
      </c>
      <c r="E187" s="2" t="b">
        <v>1</v>
      </c>
      <c r="F187" s="2" t="s">
        <v>19</v>
      </c>
      <c r="G187" s="2">
        <v>12</v>
      </c>
      <c r="H187" s="2"/>
      <c r="I187" s="2"/>
      <c r="J187" s="2">
        <v>2.3E-3</v>
      </c>
      <c r="K187" s="2"/>
      <c r="L187" s="2">
        <v>1.4999999999999999E-2</v>
      </c>
      <c r="M187" s="2"/>
      <c r="N187" s="5" t="s">
        <v>373</v>
      </c>
      <c r="O187" s="2">
        <v>1989</v>
      </c>
      <c r="P187" s="2" t="b">
        <v>1</v>
      </c>
    </row>
    <row r="188" spans="1:16">
      <c r="A188" s="2" t="s">
        <v>31</v>
      </c>
      <c r="B188" s="2" t="s">
        <v>377</v>
      </c>
      <c r="C188" s="2"/>
      <c r="D188" s="2" t="b">
        <v>1</v>
      </c>
      <c r="E188" s="2" t="b">
        <v>1</v>
      </c>
      <c r="F188" s="2" t="s">
        <v>19</v>
      </c>
      <c r="G188" s="2">
        <v>12</v>
      </c>
      <c r="H188" s="2"/>
      <c r="I188" s="2"/>
      <c r="J188" s="2">
        <v>1.9E-2</v>
      </c>
      <c r="K188" s="2"/>
      <c r="L188" s="2">
        <v>2.3E-2</v>
      </c>
      <c r="M188" s="2"/>
      <c r="N188" s="5" t="s">
        <v>373</v>
      </c>
      <c r="O188" s="2">
        <v>1989</v>
      </c>
      <c r="P188" s="2" t="b">
        <v>1</v>
      </c>
    </row>
    <row r="189" spans="1:16">
      <c r="A189" s="2" t="s">
        <v>31</v>
      </c>
      <c r="B189" s="2" t="s">
        <v>378</v>
      </c>
      <c r="C189" s="2"/>
      <c r="D189" s="2" t="b">
        <v>1</v>
      </c>
      <c r="E189" s="2" t="b">
        <v>1</v>
      </c>
      <c r="F189" s="2" t="s">
        <v>19</v>
      </c>
      <c r="G189" s="2">
        <v>12</v>
      </c>
      <c r="H189" s="2"/>
      <c r="I189" s="2"/>
      <c r="J189" s="2">
        <v>4.7E-2</v>
      </c>
      <c r="K189" s="2"/>
      <c r="L189" s="2">
        <v>3.6999999999999998E-2</v>
      </c>
      <c r="M189" s="2"/>
      <c r="N189" s="5" t="s">
        <v>373</v>
      </c>
      <c r="O189" s="2">
        <v>1989</v>
      </c>
      <c r="P189" s="2" t="b">
        <v>1</v>
      </c>
    </row>
    <row r="190" spans="1:16">
      <c r="A190" s="2" t="s">
        <v>31</v>
      </c>
      <c r="B190" s="2" t="s">
        <v>379</v>
      </c>
      <c r="C190" s="2"/>
      <c r="D190" s="2" t="b">
        <v>1</v>
      </c>
      <c r="E190" s="2" t="b">
        <v>1</v>
      </c>
      <c r="F190" s="2" t="s">
        <v>19</v>
      </c>
      <c r="G190" s="2">
        <v>12</v>
      </c>
      <c r="H190" s="2"/>
      <c r="I190" s="2"/>
      <c r="J190" s="2">
        <v>1.2E-2</v>
      </c>
      <c r="K190" s="2"/>
      <c r="L190" s="2">
        <v>2.1999999999999999E-2</v>
      </c>
      <c r="M190" s="2"/>
      <c r="N190" s="5" t="s">
        <v>373</v>
      </c>
      <c r="O190" s="2">
        <v>1989</v>
      </c>
      <c r="P190" s="2" t="b">
        <v>1</v>
      </c>
    </row>
    <row r="191" spans="1:16">
      <c r="A191" s="2" t="s">
        <v>31</v>
      </c>
      <c r="B191" s="2" t="s">
        <v>355</v>
      </c>
      <c r="C191" s="2"/>
      <c r="D191" s="2" t="b">
        <v>1</v>
      </c>
      <c r="E191" s="2" t="b">
        <v>1</v>
      </c>
      <c r="F191" s="2" t="s">
        <v>19</v>
      </c>
      <c r="G191" s="2">
        <v>12</v>
      </c>
      <c r="H191" s="2"/>
      <c r="I191" s="2"/>
      <c r="J191" s="2">
        <v>3.5000000000000003E-2</v>
      </c>
      <c r="K191" s="2"/>
      <c r="L191" s="2">
        <v>2.5999999999999999E-2</v>
      </c>
      <c r="M191" s="2"/>
      <c r="N191" s="5" t="s">
        <v>373</v>
      </c>
      <c r="O191" s="2">
        <v>1989</v>
      </c>
      <c r="P191" s="2" t="b">
        <v>1</v>
      </c>
    </row>
    <row r="192" spans="1:16">
      <c r="A192" s="2" t="s">
        <v>31</v>
      </c>
      <c r="B192" s="2" t="s">
        <v>380</v>
      </c>
      <c r="C192" s="2"/>
      <c r="D192" s="2" t="b">
        <v>1</v>
      </c>
      <c r="E192" s="2" t="b">
        <v>1</v>
      </c>
      <c r="F192" s="2" t="s">
        <v>19</v>
      </c>
      <c r="G192" s="2">
        <v>12</v>
      </c>
      <c r="H192" s="2"/>
      <c r="I192" s="2"/>
      <c r="J192" s="2">
        <v>2.5000000000000001E-2</v>
      </c>
      <c r="K192" s="2"/>
      <c r="L192" s="2">
        <v>0.02</v>
      </c>
      <c r="M192" s="2"/>
      <c r="N192" s="5" t="s">
        <v>373</v>
      </c>
      <c r="O192" s="2">
        <v>1989</v>
      </c>
      <c r="P192" s="2" t="b">
        <v>1</v>
      </c>
    </row>
    <row r="193" spans="1:16">
      <c r="A193" s="2" t="s">
        <v>31</v>
      </c>
      <c r="B193" s="2" t="s">
        <v>381</v>
      </c>
      <c r="C193" s="2"/>
      <c r="D193" s="2" t="b">
        <v>1</v>
      </c>
      <c r="E193" s="2" t="b">
        <v>1</v>
      </c>
      <c r="F193" s="2" t="s">
        <v>19</v>
      </c>
      <c r="G193" s="2">
        <v>12</v>
      </c>
      <c r="H193" s="2"/>
      <c r="I193" s="2"/>
      <c r="J193" s="2">
        <v>1E-4</v>
      </c>
      <c r="K193" s="2"/>
      <c r="L193" s="2">
        <v>2.5000000000000001E-2</v>
      </c>
      <c r="M193" s="2"/>
      <c r="N193" s="5" t="s">
        <v>373</v>
      </c>
      <c r="O193" s="2">
        <v>1989</v>
      </c>
      <c r="P193" s="2" t="b">
        <v>1</v>
      </c>
    </row>
    <row r="194" spans="1:16">
      <c r="A194" s="2" t="s">
        <v>31</v>
      </c>
      <c r="B194" s="2" t="s">
        <v>382</v>
      </c>
      <c r="C194" s="2"/>
      <c r="D194" s="2" t="b">
        <v>1</v>
      </c>
      <c r="E194" s="2" t="b">
        <v>1</v>
      </c>
      <c r="F194" s="2" t="s">
        <v>19</v>
      </c>
      <c r="G194" s="2">
        <v>12</v>
      </c>
      <c r="H194" s="2"/>
      <c r="I194" s="2"/>
      <c r="J194" s="2">
        <v>6.8999999999999999E-3</v>
      </c>
      <c r="K194" s="2"/>
      <c r="L194" s="2">
        <v>0.03</v>
      </c>
      <c r="M194" s="2"/>
      <c r="N194" s="5" t="s">
        <v>373</v>
      </c>
      <c r="O194" s="2">
        <v>1989</v>
      </c>
      <c r="P194" s="2" t="b">
        <v>1</v>
      </c>
    </row>
    <row r="195" spans="1:16">
      <c r="A195" s="2" t="s">
        <v>31</v>
      </c>
      <c r="B195" s="2" t="s">
        <v>282</v>
      </c>
      <c r="C195" s="2"/>
      <c r="D195" s="2" t="b">
        <v>1</v>
      </c>
      <c r="E195" s="2" t="b">
        <v>1</v>
      </c>
      <c r="F195" s="2" t="s">
        <v>33</v>
      </c>
      <c r="G195" s="2">
        <v>20</v>
      </c>
      <c r="H195" s="2" t="s">
        <v>20</v>
      </c>
      <c r="I195" s="2"/>
      <c r="J195" s="2">
        <v>7.0000000000000007E-2</v>
      </c>
      <c r="K195" s="2"/>
      <c r="L195" s="2">
        <v>2.8000000000000001E-2</v>
      </c>
      <c r="M195" s="2"/>
      <c r="N195" s="5" t="s">
        <v>383</v>
      </c>
      <c r="O195" s="2">
        <v>1981</v>
      </c>
      <c r="P195" s="2" t="b">
        <v>1</v>
      </c>
    </row>
    <row r="196" spans="1:16">
      <c r="A196" s="2" t="s">
        <v>31</v>
      </c>
      <c r="B196" s="2" t="s">
        <v>360</v>
      </c>
      <c r="C196" s="2"/>
      <c r="D196" s="2" t="b">
        <v>1</v>
      </c>
      <c r="E196" s="2" t="b">
        <v>0</v>
      </c>
      <c r="F196" s="2" t="s">
        <v>33</v>
      </c>
      <c r="G196" s="2">
        <v>20</v>
      </c>
      <c r="H196" s="2" t="s">
        <v>20</v>
      </c>
      <c r="I196" s="2"/>
      <c r="J196" s="2">
        <v>0.19</v>
      </c>
      <c r="K196" s="2"/>
      <c r="L196" s="2">
        <v>0.01</v>
      </c>
      <c r="M196" s="2"/>
      <c r="N196" s="5" t="s">
        <v>383</v>
      </c>
      <c r="O196" s="2">
        <v>1981</v>
      </c>
      <c r="P196" s="2" t="b">
        <v>1</v>
      </c>
    </row>
    <row r="197" spans="1:16">
      <c r="A197" s="2" t="s">
        <v>31</v>
      </c>
      <c r="B197" s="2" t="s">
        <v>384</v>
      </c>
      <c r="C197" s="2"/>
      <c r="D197" s="2" t="b">
        <v>1</v>
      </c>
      <c r="E197" s="2" t="b">
        <v>1</v>
      </c>
      <c r="F197" s="2" t="s">
        <v>19</v>
      </c>
      <c r="G197" s="2">
        <v>20</v>
      </c>
      <c r="H197" s="2" t="s">
        <v>473</v>
      </c>
      <c r="I197" s="2"/>
      <c r="J197" s="2">
        <v>0.02</v>
      </c>
      <c r="K197" s="2"/>
      <c r="L197" s="2">
        <v>0.02</v>
      </c>
      <c r="M197" s="2"/>
      <c r="N197" s="5" t="s">
        <v>385</v>
      </c>
      <c r="O197" s="2">
        <v>1977</v>
      </c>
      <c r="P197" s="2" t="b">
        <v>1</v>
      </c>
    </row>
    <row r="198" spans="1:16">
      <c r="A198" s="2" t="s">
        <v>31</v>
      </c>
      <c r="B198" s="2" t="s">
        <v>386</v>
      </c>
      <c r="C198" s="2"/>
      <c r="D198" s="2" t="b">
        <v>1</v>
      </c>
      <c r="E198" s="2" t="b">
        <v>0</v>
      </c>
      <c r="F198" s="2" t="s">
        <v>19</v>
      </c>
      <c r="G198" s="2">
        <v>26</v>
      </c>
      <c r="H198" s="2" t="s">
        <v>474</v>
      </c>
      <c r="I198" s="2"/>
      <c r="J198" s="2">
        <v>1.3</v>
      </c>
      <c r="K198" s="2"/>
      <c r="L198" s="2">
        <v>7.0000000000000007E-2</v>
      </c>
      <c r="M198" s="2"/>
      <c r="N198" s="5" t="s">
        <v>387</v>
      </c>
      <c r="O198" s="2">
        <v>1979</v>
      </c>
      <c r="P198" s="2" t="b">
        <v>1</v>
      </c>
    </row>
    <row r="199" spans="1:16">
      <c r="A199" s="2" t="s">
        <v>31</v>
      </c>
      <c r="B199" s="2" t="s">
        <v>368</v>
      </c>
      <c r="C199" s="2"/>
      <c r="D199" s="2" t="b">
        <v>1</v>
      </c>
      <c r="E199" s="2" t="b">
        <v>1</v>
      </c>
      <c r="F199" s="2" t="s">
        <v>33</v>
      </c>
      <c r="G199" s="2">
        <v>22</v>
      </c>
      <c r="H199" s="2" t="s">
        <v>475</v>
      </c>
      <c r="I199" s="2"/>
      <c r="J199" s="2">
        <v>2.5999999999999999E-3</v>
      </c>
      <c r="K199" s="2"/>
      <c r="L199" s="2">
        <v>4.1000000000000002E-2</v>
      </c>
      <c r="M199" s="2"/>
      <c r="N199" s="5" t="s">
        <v>388</v>
      </c>
      <c r="O199" s="2">
        <v>2011</v>
      </c>
      <c r="P199" s="2" t="b">
        <v>1</v>
      </c>
    </row>
    <row r="200" spans="1:16">
      <c r="A200" s="2" t="s">
        <v>31</v>
      </c>
      <c r="B200" s="2" t="s">
        <v>389</v>
      </c>
      <c r="C200" s="2"/>
      <c r="D200" s="2" t="b">
        <v>1</v>
      </c>
      <c r="E200" s="2" t="b">
        <v>1</v>
      </c>
      <c r="F200" s="2"/>
      <c r="G200" s="2">
        <v>20</v>
      </c>
      <c r="H200" s="2"/>
      <c r="I200" s="2"/>
      <c r="J200" s="2">
        <v>0.5</v>
      </c>
      <c r="K200" s="2"/>
      <c r="L200" s="2">
        <v>1.6E-2</v>
      </c>
      <c r="M200" s="2"/>
      <c r="N200" s="5" t="s">
        <v>390</v>
      </c>
      <c r="O200" s="2">
        <v>2000</v>
      </c>
      <c r="P200" s="2" t="b">
        <v>1</v>
      </c>
    </row>
    <row r="201" spans="1:16">
      <c r="A201" s="2" t="s">
        <v>31</v>
      </c>
      <c r="B201" s="2" t="s">
        <v>391</v>
      </c>
      <c r="C201" s="2"/>
      <c r="D201" s="2" t="b">
        <v>1</v>
      </c>
      <c r="E201" s="2" t="b">
        <v>1</v>
      </c>
      <c r="F201" s="2"/>
      <c r="G201" s="2">
        <v>20</v>
      </c>
      <c r="H201" s="2"/>
      <c r="I201" s="2"/>
      <c r="J201" s="2">
        <v>0.54</v>
      </c>
      <c r="K201" s="2"/>
      <c r="L201" s="2">
        <v>0.03</v>
      </c>
      <c r="M201" s="2"/>
      <c r="N201" s="5" t="s">
        <v>390</v>
      </c>
      <c r="O201" s="2">
        <v>2000</v>
      </c>
      <c r="P201" s="2" t="b">
        <v>1</v>
      </c>
    </row>
    <row r="202" spans="1:16">
      <c r="A202" s="2" t="s">
        <v>31</v>
      </c>
      <c r="B202" s="2" t="s">
        <v>392</v>
      </c>
      <c r="C202" s="2" t="s">
        <v>393</v>
      </c>
      <c r="D202" s="2" t="b">
        <v>1</v>
      </c>
      <c r="E202" s="2" t="b">
        <v>1</v>
      </c>
      <c r="F202" s="2"/>
      <c r="G202" s="2">
        <v>20</v>
      </c>
      <c r="H202" s="2"/>
      <c r="I202" s="2"/>
      <c r="J202" s="2">
        <v>1.3</v>
      </c>
      <c r="K202" s="2"/>
      <c r="L202" s="2">
        <v>3.5000000000000003E-2</v>
      </c>
      <c r="M202" s="2"/>
      <c r="N202" s="5" t="s">
        <v>336</v>
      </c>
      <c r="O202" s="2">
        <v>1999</v>
      </c>
      <c r="P202" s="2" t="b">
        <v>1</v>
      </c>
    </row>
    <row r="203" spans="1:16">
      <c r="A203" s="2" t="s">
        <v>31</v>
      </c>
      <c r="B203" s="2" t="s">
        <v>392</v>
      </c>
      <c r="C203" s="2" t="s">
        <v>393</v>
      </c>
      <c r="D203" s="2" t="b">
        <v>1</v>
      </c>
      <c r="E203" s="2" t="b">
        <v>1</v>
      </c>
      <c r="F203" s="2"/>
      <c r="G203" s="2">
        <v>25</v>
      </c>
      <c r="H203" s="2"/>
      <c r="I203" s="2"/>
      <c r="J203" s="2">
        <v>0.96</v>
      </c>
      <c r="K203" s="2"/>
      <c r="L203" s="2">
        <v>0.04</v>
      </c>
      <c r="M203" s="2"/>
      <c r="N203" s="5" t="s">
        <v>336</v>
      </c>
      <c r="O203" s="2">
        <v>1999</v>
      </c>
      <c r="P203" s="2" t="b">
        <v>1</v>
      </c>
    </row>
    <row r="204" spans="1:16">
      <c r="A204" s="2" t="s">
        <v>31</v>
      </c>
      <c r="B204" s="2" t="s">
        <v>392</v>
      </c>
      <c r="C204" s="2" t="s">
        <v>393</v>
      </c>
      <c r="D204" s="2" t="b">
        <v>1</v>
      </c>
      <c r="E204" s="2" t="b">
        <v>1</v>
      </c>
      <c r="F204" s="2"/>
      <c r="G204" s="2">
        <v>30</v>
      </c>
      <c r="H204" s="2"/>
      <c r="I204" s="2"/>
      <c r="J204" s="2">
        <v>0.25</v>
      </c>
      <c r="K204" s="2"/>
      <c r="L204" s="2">
        <v>4.7E-2</v>
      </c>
      <c r="M204" s="2"/>
      <c r="N204" s="5" t="s">
        <v>336</v>
      </c>
      <c r="O204" s="2">
        <v>1999</v>
      </c>
      <c r="P204" s="2" t="b">
        <v>1</v>
      </c>
    </row>
    <row r="205" spans="1:16">
      <c r="A205" s="2" t="s">
        <v>31</v>
      </c>
      <c r="B205" s="2" t="s">
        <v>392</v>
      </c>
      <c r="C205" s="2" t="s">
        <v>393</v>
      </c>
      <c r="D205" s="2" t="b">
        <v>1</v>
      </c>
      <c r="E205" s="2" t="b">
        <v>1</v>
      </c>
      <c r="F205" s="2"/>
      <c r="G205" s="2">
        <v>35</v>
      </c>
      <c r="H205" s="2"/>
      <c r="I205" s="2"/>
      <c r="J205" s="2">
        <v>0.62</v>
      </c>
      <c r="K205" s="2"/>
      <c r="L205" s="2">
        <v>3.7999999999999999E-2</v>
      </c>
      <c r="M205" s="2"/>
      <c r="N205" s="5" t="s">
        <v>336</v>
      </c>
      <c r="O205" s="2">
        <v>1999</v>
      </c>
      <c r="P205" s="2" t="b">
        <v>1</v>
      </c>
    </row>
    <row r="206" spans="1:16">
      <c r="A206" s="2" t="s">
        <v>31</v>
      </c>
      <c r="B206" s="2" t="s">
        <v>335</v>
      </c>
      <c r="C206" s="2"/>
      <c r="D206" s="2" t="b">
        <v>1</v>
      </c>
      <c r="E206" s="2" t="b">
        <v>1</v>
      </c>
      <c r="F206" s="2"/>
      <c r="G206" s="2">
        <v>20</v>
      </c>
      <c r="H206" s="2"/>
      <c r="I206" s="2"/>
      <c r="J206" s="2">
        <v>0.72</v>
      </c>
      <c r="K206" s="2"/>
      <c r="L206" s="2">
        <v>0.02</v>
      </c>
      <c r="M206" s="2"/>
      <c r="N206" s="5" t="s">
        <v>336</v>
      </c>
      <c r="O206" s="2">
        <v>1999</v>
      </c>
      <c r="P206" s="2" t="b">
        <v>1</v>
      </c>
    </row>
    <row r="207" spans="1:16">
      <c r="A207" s="2" t="s">
        <v>31</v>
      </c>
      <c r="B207" s="2" t="s">
        <v>394</v>
      </c>
      <c r="C207" s="2"/>
      <c r="D207" s="2" t="b">
        <v>1</v>
      </c>
      <c r="E207" s="2" t="b">
        <v>1</v>
      </c>
      <c r="F207" s="2"/>
      <c r="G207" s="2">
        <v>20</v>
      </c>
      <c r="H207" s="2"/>
      <c r="I207" s="2"/>
      <c r="J207" s="2">
        <v>0.31</v>
      </c>
      <c r="K207" s="2"/>
      <c r="L207" s="2">
        <v>0.11</v>
      </c>
      <c r="M207" s="2"/>
      <c r="N207" s="5" t="s">
        <v>395</v>
      </c>
      <c r="O207" s="2">
        <v>2004</v>
      </c>
      <c r="P207" s="2" t="b">
        <v>1</v>
      </c>
    </row>
    <row r="208" spans="1:16">
      <c r="A208" s="2" t="s">
        <v>31</v>
      </c>
      <c r="B208" s="2" t="s">
        <v>394</v>
      </c>
      <c r="C208" s="2"/>
      <c r="D208" s="2" t="b">
        <v>1</v>
      </c>
      <c r="E208" s="2" t="b">
        <v>1</v>
      </c>
      <c r="F208" s="2"/>
      <c r="G208" s="2">
        <v>9</v>
      </c>
      <c r="H208" s="2"/>
      <c r="I208" s="2"/>
      <c r="J208" s="2">
        <v>0.28999999999999998</v>
      </c>
      <c r="K208" s="2"/>
      <c r="L208" s="2">
        <v>5.3999999999999999E-2</v>
      </c>
      <c r="M208" s="2"/>
      <c r="N208" s="5" t="s">
        <v>395</v>
      </c>
      <c r="O208" s="2">
        <v>2004</v>
      </c>
      <c r="P208" s="2" t="b">
        <v>1</v>
      </c>
    </row>
    <row r="209" spans="1:16">
      <c r="A209" s="2" t="s">
        <v>31</v>
      </c>
      <c r="B209" s="2" t="s">
        <v>396</v>
      </c>
      <c r="C209" s="2"/>
      <c r="D209" s="2" t="b">
        <v>1</v>
      </c>
      <c r="E209" s="2" t="b">
        <v>1</v>
      </c>
      <c r="F209" s="2"/>
      <c r="G209" s="2">
        <v>20</v>
      </c>
      <c r="H209" s="2"/>
      <c r="I209" s="2"/>
      <c r="J209" s="2">
        <v>0.39</v>
      </c>
      <c r="K209" s="2"/>
      <c r="L209" s="2">
        <v>3.2000000000000001E-2</v>
      </c>
      <c r="M209" s="2"/>
      <c r="N209" s="5" t="s">
        <v>397</v>
      </c>
      <c r="O209" s="2">
        <v>2004</v>
      </c>
      <c r="P209" s="2" t="b">
        <v>1</v>
      </c>
    </row>
    <row r="210" spans="1:16">
      <c r="A210" s="2" t="s">
        <v>31</v>
      </c>
      <c r="B210" s="2" t="s">
        <v>396</v>
      </c>
      <c r="C210" s="2"/>
      <c r="D210" s="2" t="b">
        <v>1</v>
      </c>
      <c r="E210" s="2" t="b">
        <v>1</v>
      </c>
      <c r="F210" s="2"/>
      <c r="G210" s="2">
        <v>9</v>
      </c>
      <c r="H210" s="2"/>
      <c r="I210" s="2"/>
      <c r="J210" s="2">
        <v>0.39</v>
      </c>
      <c r="K210" s="2"/>
      <c r="L210" s="2">
        <v>1.2999999999999999E-2</v>
      </c>
      <c r="M210" s="2"/>
      <c r="N210" s="5" t="s">
        <v>397</v>
      </c>
      <c r="O210" s="2">
        <v>2004</v>
      </c>
      <c r="P210" s="2" t="b">
        <v>1</v>
      </c>
    </row>
    <row r="211" spans="1:16">
      <c r="A211" s="2" t="s">
        <v>31</v>
      </c>
      <c r="B211" s="2" t="s">
        <v>398</v>
      </c>
      <c r="C211" s="2" t="s">
        <v>399</v>
      </c>
      <c r="D211" s="2" t="b">
        <v>1</v>
      </c>
      <c r="E211" s="2" t="b">
        <v>1</v>
      </c>
      <c r="F211" s="2"/>
      <c r="G211" s="2">
        <v>24</v>
      </c>
      <c r="H211" s="2"/>
      <c r="I211" s="2"/>
      <c r="J211" s="2">
        <v>6.1000000000000004E-3</v>
      </c>
      <c r="K211" s="2"/>
      <c r="L211" s="2">
        <v>8.5000000000000006E-2</v>
      </c>
      <c r="M211" s="2" t="s">
        <v>400</v>
      </c>
      <c r="N211" s="5" t="s">
        <v>401</v>
      </c>
      <c r="O211" s="2">
        <v>1977</v>
      </c>
      <c r="P211" s="2" t="b">
        <v>1</v>
      </c>
    </row>
    <row r="212" spans="1:16">
      <c r="A212" s="2" t="s">
        <v>31</v>
      </c>
      <c r="B212" s="2" t="s">
        <v>53</v>
      </c>
      <c r="C212" s="2"/>
      <c r="D212" s="2" t="b">
        <v>1</v>
      </c>
      <c r="E212" s="2" t="b">
        <v>1</v>
      </c>
      <c r="F212" s="2"/>
      <c r="G212" s="2">
        <v>24</v>
      </c>
      <c r="H212" s="2"/>
      <c r="I212" s="2"/>
      <c r="J212" s="2">
        <v>2.5000000000000001E-2</v>
      </c>
      <c r="K212" s="2"/>
      <c r="L212" s="2">
        <v>8.8999999999999996E-2</v>
      </c>
      <c r="M212" s="2"/>
      <c r="N212" s="5" t="s">
        <v>401</v>
      </c>
      <c r="O212" s="2">
        <v>1977</v>
      </c>
      <c r="P212" s="2" t="b">
        <v>1</v>
      </c>
    </row>
    <row r="213" spans="1:16">
      <c r="A213" s="2" t="s">
        <v>31</v>
      </c>
      <c r="B213" s="2" t="s">
        <v>402</v>
      </c>
      <c r="C213" s="2" t="s">
        <v>403</v>
      </c>
      <c r="D213" s="2" t="b">
        <v>1</v>
      </c>
      <c r="E213" s="2" t="b">
        <v>1</v>
      </c>
      <c r="F213" s="2"/>
      <c r="G213" s="2">
        <v>15</v>
      </c>
      <c r="H213" s="2"/>
      <c r="I213" s="2"/>
      <c r="J213" s="2">
        <v>1.8E-3</v>
      </c>
      <c r="K213" s="2"/>
      <c r="L213" s="2">
        <v>3.2000000000000001E-2</v>
      </c>
      <c r="M213" s="2"/>
      <c r="N213" s="5" t="s">
        <v>404</v>
      </c>
      <c r="O213" s="2">
        <v>2000</v>
      </c>
      <c r="P213" s="2" t="b">
        <v>1</v>
      </c>
    </row>
    <row r="214" spans="1:16">
      <c r="A214" s="2" t="s">
        <v>31</v>
      </c>
      <c r="B214" s="2" t="s">
        <v>405</v>
      </c>
      <c r="C214" s="2"/>
      <c r="D214" s="2" t="b">
        <v>1</v>
      </c>
      <c r="E214" s="2" t="b">
        <v>1</v>
      </c>
      <c r="F214" s="2"/>
      <c r="G214" s="2">
        <v>25</v>
      </c>
      <c r="H214" s="2"/>
      <c r="I214" s="2"/>
      <c r="J214" s="2">
        <v>0.15</v>
      </c>
      <c r="K214" s="2"/>
      <c r="L214" s="2">
        <v>5.0000000000000001E-3</v>
      </c>
      <c r="M214" s="2"/>
      <c r="N214" s="5" t="s">
        <v>406</v>
      </c>
      <c r="O214" s="2">
        <v>1985</v>
      </c>
      <c r="P214" s="2" t="b">
        <v>1</v>
      </c>
    </row>
    <row r="215" spans="1:16">
      <c r="A215" s="2" t="s">
        <v>31</v>
      </c>
      <c r="B215" s="2" t="s">
        <v>407</v>
      </c>
      <c r="C215" s="2"/>
      <c r="D215" s="2" t="b">
        <v>1</v>
      </c>
      <c r="E215" s="2" t="b">
        <v>1</v>
      </c>
      <c r="F215" s="2"/>
      <c r="G215" s="2">
        <v>10</v>
      </c>
      <c r="H215" s="2"/>
      <c r="I215" s="2"/>
      <c r="J215" s="2">
        <v>0.23</v>
      </c>
      <c r="K215" s="2"/>
      <c r="L215" s="2">
        <v>1.2999999999999999E-2</v>
      </c>
      <c r="M215" s="2"/>
      <c r="N215" s="5" t="s">
        <v>408</v>
      </c>
      <c r="O215" s="2">
        <v>1981</v>
      </c>
      <c r="P215" s="2" t="b">
        <v>1</v>
      </c>
    </row>
    <row r="216" spans="1:16">
      <c r="A216" s="2" t="s">
        <v>31</v>
      </c>
      <c r="B216" s="2" t="s">
        <v>407</v>
      </c>
      <c r="C216" s="2"/>
      <c r="D216" s="2" t="b">
        <v>1</v>
      </c>
      <c r="E216" s="2" t="b">
        <v>1</v>
      </c>
      <c r="F216" s="2"/>
      <c r="G216" s="2">
        <v>15</v>
      </c>
      <c r="H216" s="2"/>
      <c r="I216" s="2"/>
      <c r="J216" s="2">
        <v>0.26</v>
      </c>
      <c r="K216" s="2"/>
      <c r="L216" s="2">
        <v>1.6E-2</v>
      </c>
      <c r="M216" s="2"/>
      <c r="N216" s="5" t="s">
        <v>408</v>
      </c>
      <c r="O216" s="2">
        <v>1981</v>
      </c>
      <c r="P216" s="2" t="b">
        <v>1</v>
      </c>
    </row>
    <row r="217" spans="1:16">
      <c r="A217" s="2" t="s">
        <v>31</v>
      </c>
      <c r="B217" s="2" t="s">
        <v>407</v>
      </c>
      <c r="C217" s="2"/>
      <c r="D217" s="2" t="b">
        <v>1</v>
      </c>
      <c r="E217" s="2" t="b">
        <v>1</v>
      </c>
      <c r="F217" s="2"/>
      <c r="G217" s="2">
        <v>20</v>
      </c>
      <c r="H217" s="2"/>
      <c r="I217" s="2"/>
      <c r="J217" s="2">
        <v>1.2</v>
      </c>
      <c r="K217" s="2"/>
      <c r="L217" s="2">
        <v>2.9000000000000001E-2</v>
      </c>
      <c r="M217" s="2"/>
      <c r="N217" s="5" t="s">
        <v>408</v>
      </c>
      <c r="O217" s="2">
        <v>1981</v>
      </c>
      <c r="P217" s="2" t="b">
        <v>1</v>
      </c>
    </row>
    <row r="218" spans="1:16">
      <c r="A218" s="2" t="s">
        <v>31</v>
      </c>
      <c r="B218" s="2" t="s">
        <v>407</v>
      </c>
      <c r="C218" s="2"/>
      <c r="D218" s="2" t="b">
        <v>1</v>
      </c>
      <c r="E218" s="2" t="b">
        <v>1</v>
      </c>
      <c r="F218" s="2"/>
      <c r="G218" s="2">
        <v>25</v>
      </c>
      <c r="H218" s="2"/>
      <c r="I218" s="2"/>
      <c r="J218" s="2">
        <v>0.62</v>
      </c>
      <c r="K218" s="2"/>
      <c r="L218" s="2">
        <v>2.1000000000000001E-2</v>
      </c>
      <c r="M218" s="2"/>
      <c r="N218" s="5" t="s">
        <v>408</v>
      </c>
      <c r="O218" s="2">
        <v>1981</v>
      </c>
      <c r="P218" s="2" t="b">
        <v>1</v>
      </c>
    </row>
    <row r="219" spans="1:16">
      <c r="A219" s="2" t="s">
        <v>31</v>
      </c>
      <c r="B219" s="2" t="s">
        <v>407</v>
      </c>
      <c r="C219" s="2"/>
      <c r="D219" s="2" t="b">
        <v>1</v>
      </c>
      <c r="E219" s="2" t="b">
        <v>1</v>
      </c>
      <c r="F219" s="2"/>
      <c r="G219" s="2">
        <v>30</v>
      </c>
      <c r="H219" s="2"/>
      <c r="I219" s="2"/>
      <c r="J219" s="2">
        <v>0.2</v>
      </c>
      <c r="K219" s="2"/>
      <c r="L219" s="2">
        <v>1.7999999999999999E-2</v>
      </c>
      <c r="M219" s="2"/>
      <c r="N219" s="5" t="s">
        <v>408</v>
      </c>
      <c r="O219" s="2">
        <v>1981</v>
      </c>
      <c r="P219" s="2" t="b">
        <v>1</v>
      </c>
    </row>
    <row r="220" spans="1:16">
      <c r="A220" s="2" t="s">
        <v>31</v>
      </c>
      <c r="B220" s="2" t="s">
        <v>409</v>
      </c>
      <c r="C220" s="2" t="s">
        <v>410</v>
      </c>
      <c r="D220" s="2" t="b">
        <v>1</v>
      </c>
      <c r="E220" s="2" t="b">
        <v>1</v>
      </c>
      <c r="F220" s="2"/>
      <c r="G220" s="2">
        <v>10</v>
      </c>
      <c r="H220" s="2"/>
      <c r="I220" s="2"/>
      <c r="J220" s="2">
        <v>1</v>
      </c>
      <c r="K220" s="2"/>
      <c r="L220" s="2">
        <v>6.7000000000000002E-3</v>
      </c>
      <c r="M220" s="2"/>
      <c r="N220" s="5" t="s">
        <v>408</v>
      </c>
      <c r="O220" s="2">
        <v>1981</v>
      </c>
      <c r="P220" s="2" t="b">
        <v>1</v>
      </c>
    </row>
    <row r="221" spans="1:16">
      <c r="A221" s="2" t="s">
        <v>31</v>
      </c>
      <c r="B221" s="2" t="s">
        <v>409</v>
      </c>
      <c r="C221" s="2" t="s">
        <v>410</v>
      </c>
      <c r="D221" s="2" t="b">
        <v>1</v>
      </c>
      <c r="E221" s="2" t="b">
        <v>1</v>
      </c>
      <c r="F221" s="2"/>
      <c r="G221" s="2">
        <v>15</v>
      </c>
      <c r="H221" s="2"/>
      <c r="I221" s="2"/>
      <c r="J221" s="2">
        <v>1.2</v>
      </c>
      <c r="K221" s="2"/>
      <c r="L221" s="2">
        <v>1.7999999999999999E-2</v>
      </c>
      <c r="M221" s="2"/>
      <c r="N221" s="5" t="s">
        <v>408</v>
      </c>
      <c r="O221" s="2">
        <v>1981</v>
      </c>
      <c r="P221" s="2" t="b">
        <v>1</v>
      </c>
    </row>
    <row r="222" spans="1:16">
      <c r="A222" s="2" t="s">
        <v>31</v>
      </c>
      <c r="B222" s="2" t="s">
        <v>409</v>
      </c>
      <c r="C222" s="2" t="s">
        <v>410</v>
      </c>
      <c r="D222" s="2" t="b">
        <v>1</v>
      </c>
      <c r="E222" s="2" t="b">
        <v>1</v>
      </c>
      <c r="F222" s="2"/>
      <c r="G222" s="2">
        <v>20</v>
      </c>
      <c r="H222" s="2"/>
      <c r="I222" s="2"/>
      <c r="J222" s="2">
        <v>2.9</v>
      </c>
      <c r="K222" s="2"/>
      <c r="L222" s="2">
        <v>3.7999999999999999E-2</v>
      </c>
      <c r="M222" s="2"/>
      <c r="N222" s="5" t="s">
        <v>408</v>
      </c>
      <c r="O222" s="2">
        <v>1981</v>
      </c>
      <c r="P222" s="2" t="b">
        <v>1</v>
      </c>
    </row>
    <row r="223" spans="1:16">
      <c r="A223" s="2" t="s">
        <v>31</v>
      </c>
      <c r="B223" s="2" t="s">
        <v>409</v>
      </c>
      <c r="C223" s="2" t="s">
        <v>410</v>
      </c>
      <c r="D223" s="2" t="b">
        <v>1</v>
      </c>
      <c r="E223" s="2" t="b">
        <v>1</v>
      </c>
      <c r="F223" s="2"/>
      <c r="G223" s="2">
        <v>25</v>
      </c>
      <c r="H223" s="2"/>
      <c r="I223" s="2"/>
      <c r="J223" s="2">
        <v>0.74</v>
      </c>
      <c r="K223" s="2"/>
      <c r="L223" s="2">
        <v>2.1000000000000001E-2</v>
      </c>
      <c r="M223" s="2"/>
      <c r="N223" s="5" t="s">
        <v>408</v>
      </c>
      <c r="O223" s="2">
        <v>1981</v>
      </c>
      <c r="P223" s="2" t="b">
        <v>1</v>
      </c>
    </row>
    <row r="224" spans="1:16">
      <c r="A224" s="2" t="s">
        <v>31</v>
      </c>
      <c r="B224" s="2" t="s">
        <v>411</v>
      </c>
      <c r="C224" s="2" t="s">
        <v>412</v>
      </c>
      <c r="D224" s="2" t="b">
        <v>1</v>
      </c>
      <c r="E224" s="2" t="b">
        <v>1</v>
      </c>
      <c r="F224" s="2"/>
      <c r="G224" s="2">
        <v>19.5</v>
      </c>
      <c r="H224" s="2"/>
      <c r="I224" s="2"/>
      <c r="J224" s="2">
        <v>1.6999999999999999E-3</v>
      </c>
      <c r="K224" s="2"/>
      <c r="L224" s="2">
        <v>5.3999999999999999E-2</v>
      </c>
      <c r="M224" s="2"/>
      <c r="N224" s="5" t="s">
        <v>413</v>
      </c>
      <c r="O224" s="2">
        <v>2007</v>
      </c>
      <c r="P224" s="2" t="b">
        <v>1</v>
      </c>
    </row>
    <row r="225" spans="1:16">
      <c r="A225" s="2" t="s">
        <v>31</v>
      </c>
      <c r="B225" s="2" t="s">
        <v>282</v>
      </c>
      <c r="C225" s="2"/>
      <c r="D225" s="2" t="b">
        <v>1</v>
      </c>
      <c r="E225" s="2" t="b">
        <v>1</v>
      </c>
      <c r="F225" s="2"/>
      <c r="G225" s="2">
        <v>20</v>
      </c>
      <c r="H225" s="2"/>
      <c r="I225" s="2"/>
      <c r="J225" s="2">
        <v>0.02</v>
      </c>
      <c r="K225" s="2"/>
      <c r="L225" s="2">
        <v>2.5000000000000001E-2</v>
      </c>
      <c r="M225" s="2"/>
      <c r="N225" s="5" t="s">
        <v>414</v>
      </c>
      <c r="O225" s="2">
        <v>1976</v>
      </c>
      <c r="P225" s="2" t="b">
        <v>1</v>
      </c>
    </row>
    <row r="226" spans="1:16">
      <c r="A226" s="2" t="s">
        <v>31</v>
      </c>
      <c r="B226" s="2" t="s">
        <v>415</v>
      </c>
      <c r="C226" s="2"/>
      <c r="D226" s="2" t="b">
        <v>1</v>
      </c>
      <c r="E226" s="2" t="b">
        <v>1</v>
      </c>
      <c r="F226" s="2"/>
      <c r="G226" s="2">
        <v>20</v>
      </c>
      <c r="H226" s="2"/>
      <c r="I226" s="2"/>
      <c r="J226" s="2">
        <v>0.25</v>
      </c>
      <c r="K226" s="2"/>
      <c r="L226" s="2">
        <v>2.3E-2</v>
      </c>
      <c r="M226" s="2"/>
      <c r="N226" s="5" t="s">
        <v>414</v>
      </c>
      <c r="O226" s="2">
        <v>1976</v>
      </c>
      <c r="P226" s="2" t="b">
        <v>1</v>
      </c>
    </row>
    <row r="227" spans="1:16">
      <c r="A227" s="2" t="s">
        <v>31</v>
      </c>
      <c r="B227" s="2" t="s">
        <v>348</v>
      </c>
      <c r="C227" s="2" t="s">
        <v>349</v>
      </c>
      <c r="D227" s="2" t="b">
        <v>1</v>
      </c>
      <c r="E227" s="2" t="b">
        <v>1</v>
      </c>
      <c r="F227" s="2"/>
      <c r="G227" s="2">
        <v>20</v>
      </c>
      <c r="H227" s="2"/>
      <c r="I227" s="2"/>
      <c r="J227" s="2">
        <v>9.4E-2</v>
      </c>
      <c r="K227" s="2"/>
      <c r="L227" s="2">
        <v>3.4000000000000002E-2</v>
      </c>
      <c r="M227" s="2"/>
      <c r="N227" s="5" t="s">
        <v>347</v>
      </c>
      <c r="O227" s="2">
        <v>2005</v>
      </c>
      <c r="P227" s="2" t="b">
        <v>1</v>
      </c>
    </row>
    <row r="228" spans="1:16">
      <c r="A228" s="2" t="s">
        <v>31</v>
      </c>
      <c r="B228" s="2" t="s">
        <v>350</v>
      </c>
      <c r="C228" s="2" t="s">
        <v>351</v>
      </c>
      <c r="D228" s="2" t="b">
        <v>1</v>
      </c>
      <c r="E228" s="2" t="b">
        <v>0</v>
      </c>
      <c r="F228" s="2"/>
      <c r="G228" s="2">
        <v>20</v>
      </c>
      <c r="H228" s="2"/>
      <c r="I228" s="2"/>
      <c r="J228" s="2">
        <v>1.4E-2</v>
      </c>
      <c r="K228" s="2"/>
      <c r="L228" s="2">
        <v>2.1000000000000001E-2</v>
      </c>
      <c r="M228" s="2"/>
      <c r="N228" s="5" t="s">
        <v>347</v>
      </c>
      <c r="O228" s="2">
        <v>2005</v>
      </c>
      <c r="P228" s="2" t="b">
        <v>1</v>
      </c>
    </row>
    <row r="229" spans="1:16">
      <c r="A229" s="2" t="s">
        <v>31</v>
      </c>
      <c r="B229" s="2" t="s">
        <v>282</v>
      </c>
      <c r="C229" s="2"/>
      <c r="D229" s="2" t="b">
        <v>1</v>
      </c>
      <c r="E229" s="2" t="b">
        <v>1</v>
      </c>
      <c r="F229" s="2"/>
      <c r="G229" s="2">
        <v>20</v>
      </c>
      <c r="H229" s="2"/>
      <c r="I229" s="2"/>
      <c r="J229" s="2">
        <v>2.8000000000000001E-2</v>
      </c>
      <c r="K229" s="2"/>
      <c r="L229" s="2">
        <v>3.3000000000000002E-2</v>
      </c>
      <c r="M229" s="2"/>
      <c r="N229" s="5" t="s">
        <v>416</v>
      </c>
      <c r="O229" s="2">
        <v>1990</v>
      </c>
      <c r="P229" s="2" t="b">
        <v>1</v>
      </c>
    </row>
    <row r="230" spans="1:16">
      <c r="A230" s="2" t="s">
        <v>31</v>
      </c>
      <c r="B230" s="2" t="s">
        <v>417</v>
      </c>
      <c r="C230" s="2"/>
      <c r="D230" s="2" t="b">
        <v>1</v>
      </c>
      <c r="E230" s="2" t="b">
        <v>1</v>
      </c>
      <c r="F230" s="2"/>
      <c r="G230" s="2">
        <v>20</v>
      </c>
      <c r="H230" s="2"/>
      <c r="I230" s="2"/>
      <c r="J230" s="2">
        <v>4.4999999999999998E-2</v>
      </c>
      <c r="K230" s="2"/>
      <c r="L230" s="2">
        <v>3.3000000000000002E-2</v>
      </c>
      <c r="M230" s="2"/>
      <c r="N230" s="5" t="s">
        <v>416</v>
      </c>
      <c r="O230" s="2">
        <v>1990</v>
      </c>
      <c r="P230" s="2" t="b">
        <v>1</v>
      </c>
    </row>
    <row r="231" spans="1:16">
      <c r="A231" s="2" t="s">
        <v>31</v>
      </c>
      <c r="B231" s="2" t="s">
        <v>418</v>
      </c>
      <c r="C231" s="2"/>
      <c r="D231" s="2" t="b">
        <v>1</v>
      </c>
      <c r="E231" s="2" t="b">
        <v>1</v>
      </c>
      <c r="F231" s="2"/>
      <c r="G231" s="2">
        <v>20</v>
      </c>
      <c r="H231" s="2"/>
      <c r="I231" s="2"/>
      <c r="J231" s="2">
        <v>0.16</v>
      </c>
      <c r="K231" s="2"/>
      <c r="L231" s="2">
        <v>4.2000000000000003E-2</v>
      </c>
      <c r="M231" s="2"/>
      <c r="N231" s="5" t="s">
        <v>416</v>
      </c>
      <c r="O231" s="2">
        <v>1990</v>
      </c>
      <c r="P231" s="2" t="b">
        <v>1</v>
      </c>
    </row>
    <row r="232" spans="1:16">
      <c r="A232" s="2" t="s">
        <v>31</v>
      </c>
      <c r="B232" s="2" t="s">
        <v>282</v>
      </c>
      <c r="C232" s="2"/>
      <c r="D232" s="2" t="b">
        <v>1</v>
      </c>
      <c r="E232" s="2" t="b">
        <v>1</v>
      </c>
      <c r="F232" s="2"/>
      <c r="G232" s="2">
        <v>5</v>
      </c>
      <c r="H232" s="2"/>
      <c r="I232" s="2"/>
      <c r="J232" s="2">
        <v>0.02</v>
      </c>
      <c r="K232" s="2"/>
      <c r="L232" s="2">
        <v>1.7999999999999999E-2</v>
      </c>
      <c r="M232" s="2"/>
      <c r="N232" s="5" t="s">
        <v>416</v>
      </c>
      <c r="O232" s="2">
        <v>1990</v>
      </c>
      <c r="P232" s="2" t="b">
        <v>1</v>
      </c>
    </row>
    <row r="233" spans="1:16">
      <c r="A233" s="2" t="s">
        <v>31</v>
      </c>
      <c r="B233" s="2" t="s">
        <v>282</v>
      </c>
      <c r="C233" s="2"/>
      <c r="D233" s="2" t="b">
        <v>1</v>
      </c>
      <c r="E233" s="2" t="b">
        <v>1</v>
      </c>
      <c r="F233" s="2"/>
      <c r="G233" s="2">
        <v>10</v>
      </c>
      <c r="H233" s="2"/>
      <c r="I233" s="2"/>
      <c r="J233" s="2">
        <v>2.5999999999999999E-2</v>
      </c>
      <c r="K233" s="2"/>
      <c r="L233" s="2">
        <v>2.7E-2</v>
      </c>
      <c r="M233" s="2"/>
      <c r="N233" s="5" t="s">
        <v>416</v>
      </c>
      <c r="O233" s="2">
        <v>1990</v>
      </c>
      <c r="P233" s="2" t="b">
        <v>1</v>
      </c>
    </row>
    <row r="234" spans="1:16">
      <c r="A234" s="2" t="s">
        <v>31</v>
      </c>
      <c r="B234" s="2" t="s">
        <v>282</v>
      </c>
      <c r="C234" s="2"/>
      <c r="D234" s="2" t="b">
        <v>1</v>
      </c>
      <c r="E234" s="2" t="b">
        <v>1</v>
      </c>
      <c r="F234" s="2"/>
      <c r="G234" s="2">
        <v>15</v>
      </c>
      <c r="H234" s="2"/>
      <c r="I234" s="2"/>
      <c r="J234" s="2">
        <v>3.5000000000000003E-2</v>
      </c>
      <c r="K234" s="2"/>
      <c r="L234" s="2">
        <v>2.8000000000000001E-2</v>
      </c>
      <c r="M234" s="2"/>
      <c r="N234" s="5" t="s">
        <v>416</v>
      </c>
      <c r="O234" s="2">
        <v>1990</v>
      </c>
      <c r="P234" s="2" t="b">
        <v>1</v>
      </c>
    </row>
    <row r="235" spans="1:16">
      <c r="A235" s="2" t="s">
        <v>31</v>
      </c>
      <c r="B235" s="2" t="s">
        <v>418</v>
      </c>
      <c r="C235" s="2"/>
      <c r="D235" s="2" t="b">
        <v>1</v>
      </c>
      <c r="E235" s="2" t="b">
        <v>1</v>
      </c>
      <c r="F235" s="2"/>
      <c r="G235" s="2">
        <v>5</v>
      </c>
      <c r="H235" s="2"/>
      <c r="I235" s="2"/>
      <c r="J235" s="2">
        <v>0.2</v>
      </c>
      <c r="K235" s="2"/>
      <c r="L235" s="2">
        <v>2.1999999999999999E-2</v>
      </c>
      <c r="M235" s="2"/>
      <c r="N235" s="5" t="s">
        <v>416</v>
      </c>
      <c r="O235" s="2">
        <v>1990</v>
      </c>
      <c r="P235" s="2" t="b">
        <v>1</v>
      </c>
    </row>
    <row r="236" spans="1:16">
      <c r="A236" s="2" t="s">
        <v>31</v>
      </c>
      <c r="B236" s="2" t="s">
        <v>418</v>
      </c>
      <c r="C236" s="2"/>
      <c r="D236" s="2" t="b">
        <v>1</v>
      </c>
      <c r="E236" s="2" t="b">
        <v>1</v>
      </c>
      <c r="F236" s="2"/>
      <c r="G236" s="2">
        <v>10</v>
      </c>
      <c r="H236" s="2"/>
      <c r="I236" s="2"/>
      <c r="J236" s="2">
        <v>0.32</v>
      </c>
      <c r="K236" s="2"/>
      <c r="L236" s="2">
        <v>2.5000000000000001E-2</v>
      </c>
      <c r="M236" s="2"/>
      <c r="N236" s="5" t="s">
        <v>416</v>
      </c>
      <c r="O236" s="2">
        <v>1990</v>
      </c>
      <c r="P236" s="2" t="b">
        <v>1</v>
      </c>
    </row>
    <row r="237" spans="1:16">
      <c r="A237" s="2" t="s">
        <v>31</v>
      </c>
      <c r="B237" s="2" t="s">
        <v>418</v>
      </c>
      <c r="C237" s="2"/>
      <c r="D237" s="2" t="b">
        <v>1</v>
      </c>
      <c r="E237" s="2" t="b">
        <v>1</v>
      </c>
      <c r="F237" s="2"/>
      <c r="G237" s="2">
        <v>15</v>
      </c>
      <c r="H237" s="2"/>
      <c r="I237" s="2"/>
      <c r="J237" s="2">
        <v>0.31</v>
      </c>
      <c r="K237" s="2"/>
      <c r="L237" s="2">
        <v>3.3000000000000002E-2</v>
      </c>
      <c r="M237" s="2"/>
      <c r="N237" s="5" t="s">
        <v>416</v>
      </c>
      <c r="O237" s="2">
        <v>1990</v>
      </c>
      <c r="P237" s="2" t="b">
        <v>1</v>
      </c>
    </row>
    <row r="238" spans="1:16">
      <c r="A238" s="2" t="s">
        <v>31</v>
      </c>
      <c r="B238" s="2" t="s">
        <v>417</v>
      </c>
      <c r="C238" s="2"/>
      <c r="D238" s="2" t="b">
        <v>1</v>
      </c>
      <c r="E238" s="2" t="b">
        <v>1</v>
      </c>
      <c r="F238" s="2"/>
      <c r="G238" s="2">
        <v>5</v>
      </c>
      <c r="H238" s="2"/>
      <c r="I238" s="2"/>
      <c r="J238" s="2">
        <v>3.4000000000000002E-2</v>
      </c>
      <c r="K238" s="2"/>
      <c r="L238" s="2">
        <v>1.2E-2</v>
      </c>
      <c r="M238" s="2"/>
      <c r="N238" s="5" t="s">
        <v>416</v>
      </c>
      <c r="O238" s="2">
        <v>1990</v>
      </c>
      <c r="P238" s="2" t="b">
        <v>1</v>
      </c>
    </row>
    <row r="239" spans="1:16">
      <c r="A239" s="2" t="s">
        <v>31</v>
      </c>
      <c r="B239" s="2" t="s">
        <v>417</v>
      </c>
      <c r="C239" s="2"/>
      <c r="D239" s="2" t="b">
        <v>1</v>
      </c>
      <c r="E239" s="2" t="b">
        <v>1</v>
      </c>
      <c r="F239" s="2"/>
      <c r="G239" s="2">
        <v>10</v>
      </c>
      <c r="H239" s="2"/>
      <c r="I239" s="2"/>
      <c r="J239" s="2">
        <v>4.9000000000000002E-2</v>
      </c>
      <c r="K239" s="2"/>
      <c r="L239" s="2">
        <v>1.7999999999999999E-2</v>
      </c>
      <c r="M239" s="2"/>
      <c r="N239" s="5" t="s">
        <v>416</v>
      </c>
      <c r="O239" s="2">
        <v>1990</v>
      </c>
      <c r="P239" s="2" t="b">
        <v>1</v>
      </c>
    </row>
    <row r="240" spans="1:16">
      <c r="A240" s="2" t="s">
        <v>31</v>
      </c>
      <c r="B240" s="2" t="s">
        <v>417</v>
      </c>
      <c r="C240" s="2"/>
      <c r="D240" s="2" t="b">
        <v>1</v>
      </c>
      <c r="E240" s="2" t="b">
        <v>1</v>
      </c>
      <c r="F240" s="2"/>
      <c r="G240" s="2">
        <v>15</v>
      </c>
      <c r="H240" s="2"/>
      <c r="I240" s="2"/>
      <c r="J240" s="2">
        <v>0.05</v>
      </c>
      <c r="K240" s="2"/>
      <c r="L240" s="2">
        <v>2.5000000000000001E-2</v>
      </c>
      <c r="M240" s="2"/>
      <c r="N240" s="5" t="s">
        <v>416</v>
      </c>
      <c r="O240" s="2">
        <v>1990</v>
      </c>
      <c r="P240" s="2" t="b">
        <v>1</v>
      </c>
    </row>
    <row r="241" spans="1:16">
      <c r="A241" s="2" t="s">
        <v>31</v>
      </c>
      <c r="B241" s="2" t="s">
        <v>419</v>
      </c>
      <c r="C241" s="2"/>
      <c r="D241" s="2" t="b">
        <v>1</v>
      </c>
      <c r="E241" s="2" t="b">
        <v>1</v>
      </c>
      <c r="F241" s="2"/>
      <c r="G241" s="2">
        <v>25</v>
      </c>
      <c r="H241" s="2"/>
      <c r="I241" s="2"/>
      <c r="J241" s="2">
        <v>0.18</v>
      </c>
      <c r="K241" s="2"/>
      <c r="L241" s="2">
        <v>7.1000000000000004E-3</v>
      </c>
      <c r="M241" s="2" t="s">
        <v>420</v>
      </c>
      <c r="N241" s="5" t="s">
        <v>421</v>
      </c>
      <c r="O241" s="2">
        <v>1990</v>
      </c>
      <c r="P241" s="2" t="b">
        <v>1</v>
      </c>
    </row>
    <row r="242" spans="1:16" s="2" customFormat="1">
      <c r="A242" s="2" t="s">
        <v>71</v>
      </c>
      <c r="B242" s="2" t="s">
        <v>352</v>
      </c>
      <c r="D242" s="2" t="b">
        <v>1</v>
      </c>
      <c r="E242" s="2" t="b">
        <v>0</v>
      </c>
      <c r="G242" s="2">
        <v>24</v>
      </c>
      <c r="I242" s="2" t="s">
        <v>466</v>
      </c>
      <c r="J242" s="2">
        <v>3.5999999999999997E-2</v>
      </c>
      <c r="K242" s="11"/>
      <c r="L242" s="2">
        <v>1.9E-2</v>
      </c>
      <c r="N242" s="5" t="s">
        <v>353</v>
      </c>
      <c r="O242" s="2">
        <v>1977</v>
      </c>
      <c r="P242" s="2" t="b">
        <v>1</v>
      </c>
    </row>
    <row r="243" spans="1:16">
      <c r="A243" s="2" t="s">
        <v>71</v>
      </c>
      <c r="B243" s="2" t="s">
        <v>360</v>
      </c>
      <c r="C243" s="2"/>
      <c r="D243" s="2" t="b">
        <v>1</v>
      </c>
      <c r="E243" s="2" t="b">
        <v>0</v>
      </c>
      <c r="F243" s="2"/>
      <c r="G243" s="2">
        <v>23</v>
      </c>
      <c r="H243" s="2"/>
      <c r="I243" s="2"/>
      <c r="J243" s="2">
        <v>38</v>
      </c>
      <c r="K243" s="2"/>
      <c r="L243" s="2">
        <v>2.8000000000000001E-2</v>
      </c>
      <c r="M243" s="2"/>
      <c r="N243" s="5" t="s">
        <v>361</v>
      </c>
      <c r="O243" s="2">
        <v>2007</v>
      </c>
      <c r="P243" s="2" t="b">
        <v>1</v>
      </c>
    </row>
    <row r="244" spans="1:16">
      <c r="A244" s="2" t="s">
        <v>71</v>
      </c>
      <c r="B244" s="2" t="s">
        <v>53</v>
      </c>
      <c r="C244" s="2"/>
      <c r="D244" s="2" t="b">
        <v>1</v>
      </c>
      <c r="E244" s="2" t="b">
        <v>1</v>
      </c>
      <c r="F244" s="2"/>
      <c r="G244" s="2">
        <v>24</v>
      </c>
      <c r="H244" s="2"/>
      <c r="I244" s="2"/>
      <c r="J244" s="2">
        <v>0.24</v>
      </c>
      <c r="K244" s="2"/>
      <c r="L244" s="2">
        <v>5.5E-2</v>
      </c>
      <c r="M244" s="2"/>
      <c r="N244" s="5" t="s">
        <v>363</v>
      </c>
      <c r="O244" s="2">
        <v>1984</v>
      </c>
      <c r="P244" s="2" t="b">
        <v>1</v>
      </c>
    </row>
    <row r="245" spans="1:16">
      <c r="A245" s="2" t="s">
        <v>71</v>
      </c>
      <c r="B245" s="2" t="s">
        <v>422</v>
      </c>
      <c r="C245" s="2"/>
      <c r="D245" s="2" t="b">
        <v>1</v>
      </c>
      <c r="E245" s="2" t="b">
        <v>1</v>
      </c>
      <c r="F245" s="2"/>
      <c r="G245" s="2">
        <v>26</v>
      </c>
      <c r="H245" s="2"/>
      <c r="I245" s="2"/>
      <c r="J245" s="2">
        <v>1.4</v>
      </c>
      <c r="K245" s="2"/>
      <c r="L245" s="2">
        <v>5.6000000000000001E-2</v>
      </c>
      <c r="M245" s="2"/>
      <c r="N245" s="5" t="s">
        <v>423</v>
      </c>
      <c r="O245" s="2">
        <v>1969</v>
      </c>
      <c r="P245" s="2" t="b">
        <v>1</v>
      </c>
    </row>
    <row r="246" spans="1:16">
      <c r="A246" s="2" t="s">
        <v>71</v>
      </c>
      <c r="B246" s="2" t="s">
        <v>424</v>
      </c>
      <c r="C246" s="2"/>
      <c r="D246" s="2" t="b">
        <v>1</v>
      </c>
      <c r="E246" s="2" t="b">
        <v>1</v>
      </c>
      <c r="F246" s="2"/>
      <c r="G246" s="2">
        <v>26</v>
      </c>
      <c r="H246" s="2"/>
      <c r="I246" s="2"/>
      <c r="J246" s="2">
        <v>0.2</v>
      </c>
      <c r="K246" s="2"/>
      <c r="L246" s="2">
        <v>9.2999999999999999E-2</v>
      </c>
      <c r="M246" s="2"/>
      <c r="N246" s="5" t="s">
        <v>423</v>
      </c>
      <c r="O246" s="2">
        <v>1969</v>
      </c>
      <c r="P246" s="2" t="b">
        <v>1</v>
      </c>
    </row>
    <row r="247" spans="1:16">
      <c r="A247" s="2" t="s">
        <v>71</v>
      </c>
      <c r="B247" s="2" t="s">
        <v>333</v>
      </c>
      <c r="C247" s="2"/>
      <c r="D247" s="2" t="b">
        <v>1</v>
      </c>
      <c r="E247" s="2" t="b">
        <v>1</v>
      </c>
      <c r="F247" s="2"/>
      <c r="G247" s="2">
        <v>21</v>
      </c>
      <c r="H247" s="2"/>
      <c r="I247" s="2"/>
      <c r="J247" s="2">
        <v>2.1</v>
      </c>
      <c r="K247" s="2"/>
      <c r="L247" s="2">
        <v>1.7999999999999999E-2</v>
      </c>
      <c r="M247" s="2"/>
      <c r="N247" s="5" t="s">
        <v>334</v>
      </c>
      <c r="O247" s="2">
        <v>2012</v>
      </c>
      <c r="P247" s="2" t="b">
        <v>1</v>
      </c>
    </row>
    <row r="248" spans="1:16">
      <c r="A248" s="2" t="s">
        <v>71</v>
      </c>
      <c r="B248" s="2" t="s">
        <v>425</v>
      </c>
      <c r="C248" s="2"/>
      <c r="D248" s="2" t="b">
        <v>1</v>
      </c>
      <c r="E248" s="2" t="b">
        <v>1</v>
      </c>
      <c r="F248" s="2"/>
      <c r="G248" s="2">
        <v>20</v>
      </c>
      <c r="H248" s="2"/>
      <c r="I248" s="2"/>
      <c r="J248" s="2">
        <v>3.1</v>
      </c>
      <c r="K248" s="2"/>
      <c r="L248" s="2">
        <v>5.5E-2</v>
      </c>
      <c r="M248" s="2" t="s">
        <v>426</v>
      </c>
      <c r="N248" s="5" t="s">
        <v>427</v>
      </c>
      <c r="O248" s="2">
        <v>1978</v>
      </c>
      <c r="P248" s="2" t="b">
        <v>1</v>
      </c>
    </row>
    <row r="249" spans="1:16">
      <c r="A249" s="2" t="s">
        <v>71</v>
      </c>
      <c r="B249" s="2" t="s">
        <v>389</v>
      </c>
      <c r="C249" s="2"/>
      <c r="D249" s="2" t="b">
        <v>1</v>
      </c>
      <c r="E249" s="2" t="b">
        <v>1</v>
      </c>
      <c r="F249" s="2"/>
      <c r="G249" s="2">
        <v>20</v>
      </c>
      <c r="H249" s="2"/>
      <c r="I249" s="2"/>
      <c r="J249" s="2">
        <v>15</v>
      </c>
      <c r="K249" s="2"/>
      <c r="L249" s="2">
        <v>1.9E-2</v>
      </c>
      <c r="M249" s="2"/>
      <c r="N249" s="5" t="s">
        <v>390</v>
      </c>
      <c r="O249" s="2">
        <v>2000</v>
      </c>
      <c r="P249" s="2" t="b">
        <v>1</v>
      </c>
    </row>
    <row r="250" spans="1:16">
      <c r="A250" s="2" t="s">
        <v>71</v>
      </c>
      <c r="B250" s="2" t="s">
        <v>391</v>
      </c>
      <c r="C250" s="2"/>
      <c r="D250" s="2" t="b">
        <v>1</v>
      </c>
      <c r="E250" s="2" t="b">
        <v>1</v>
      </c>
      <c r="F250" s="2"/>
      <c r="G250" s="2">
        <v>20</v>
      </c>
      <c r="H250" s="2"/>
      <c r="I250" s="2"/>
      <c r="J250" s="2">
        <v>4</v>
      </c>
      <c r="K250" s="2"/>
      <c r="L250" s="2">
        <v>2.5999999999999999E-2</v>
      </c>
      <c r="M250" s="2"/>
      <c r="N250" s="5" t="s">
        <v>390</v>
      </c>
      <c r="O250" s="2">
        <v>2000</v>
      </c>
      <c r="P250" s="2" t="b">
        <v>1</v>
      </c>
    </row>
    <row r="251" spans="1:16">
      <c r="A251" s="2" t="s">
        <v>71</v>
      </c>
      <c r="B251" s="2" t="s">
        <v>335</v>
      </c>
      <c r="C251" s="2"/>
      <c r="D251" s="2" t="b">
        <v>1</v>
      </c>
      <c r="E251" s="2" t="b">
        <v>1</v>
      </c>
      <c r="F251" s="2"/>
      <c r="G251" s="2">
        <v>20</v>
      </c>
      <c r="H251" s="2"/>
      <c r="I251" s="2"/>
      <c r="J251" s="2">
        <v>7.7</v>
      </c>
      <c r="K251" s="2"/>
      <c r="L251" s="2">
        <v>2.3E-2</v>
      </c>
      <c r="M251" s="2"/>
      <c r="N251" s="5" t="s">
        <v>336</v>
      </c>
      <c r="O251" s="2">
        <v>1999</v>
      </c>
      <c r="P251" s="2" t="b">
        <v>1</v>
      </c>
    </row>
    <row r="252" spans="1:16">
      <c r="A252" s="2" t="s">
        <v>71</v>
      </c>
      <c r="B252" s="2" t="s">
        <v>394</v>
      </c>
      <c r="C252" s="2"/>
      <c r="D252" s="2" t="b">
        <v>1</v>
      </c>
      <c r="E252" s="2" t="b">
        <v>1</v>
      </c>
      <c r="F252" s="2"/>
      <c r="G252" s="2">
        <v>20</v>
      </c>
      <c r="H252" s="2"/>
      <c r="I252" s="2"/>
      <c r="J252" s="2">
        <v>0.86</v>
      </c>
      <c r="K252" s="2"/>
      <c r="L252" s="2">
        <v>0.11</v>
      </c>
      <c r="M252" s="2"/>
      <c r="N252" s="5" t="s">
        <v>395</v>
      </c>
      <c r="O252" s="2">
        <v>2004</v>
      </c>
      <c r="P252" s="2" t="b">
        <v>1</v>
      </c>
    </row>
    <row r="253" spans="1:16">
      <c r="A253" s="2" t="s">
        <v>71</v>
      </c>
      <c r="B253" s="2" t="s">
        <v>394</v>
      </c>
      <c r="C253" s="2"/>
      <c r="D253" s="2" t="b">
        <v>1</v>
      </c>
      <c r="E253" s="2" t="b">
        <v>1</v>
      </c>
      <c r="F253" s="2"/>
      <c r="G253" s="2">
        <v>9</v>
      </c>
      <c r="H253" s="2"/>
      <c r="I253" s="2"/>
      <c r="J253" s="2">
        <v>0.76</v>
      </c>
      <c r="K253" s="2"/>
      <c r="L253" s="2">
        <v>4.2000000000000003E-2</v>
      </c>
      <c r="M253" s="2"/>
      <c r="N253" s="5" t="s">
        <v>395</v>
      </c>
      <c r="O253" s="2">
        <v>2004</v>
      </c>
      <c r="P253" s="2" t="b">
        <v>1</v>
      </c>
    </row>
    <row r="254" spans="1:16">
      <c r="A254" s="2" t="s">
        <v>71</v>
      </c>
      <c r="B254" s="2" t="s">
        <v>396</v>
      </c>
      <c r="C254" s="2"/>
      <c r="D254" s="2" t="b">
        <v>1</v>
      </c>
      <c r="E254" s="2" t="b">
        <v>1</v>
      </c>
      <c r="F254" s="2"/>
      <c r="G254" s="2">
        <v>20</v>
      </c>
      <c r="H254" s="2"/>
      <c r="I254" s="2"/>
      <c r="J254" s="2">
        <v>1.4</v>
      </c>
      <c r="K254" s="2"/>
      <c r="L254" s="2">
        <v>3.7999999999999999E-2</v>
      </c>
      <c r="M254" s="2"/>
      <c r="N254" s="5" t="s">
        <v>397</v>
      </c>
      <c r="O254" s="2">
        <v>2004</v>
      </c>
      <c r="P254" s="2" t="b">
        <v>1</v>
      </c>
    </row>
    <row r="255" spans="1:16">
      <c r="A255" s="2" t="s">
        <v>71</v>
      </c>
      <c r="B255" s="2" t="s">
        <v>396</v>
      </c>
      <c r="C255" s="2"/>
      <c r="D255" s="2" t="b">
        <v>1</v>
      </c>
      <c r="E255" s="2" t="b">
        <v>1</v>
      </c>
      <c r="F255" s="2"/>
      <c r="G255" s="2">
        <v>9</v>
      </c>
      <c r="H255" s="2"/>
      <c r="I255" s="2"/>
      <c r="J255" s="2">
        <v>1.4</v>
      </c>
      <c r="K255" s="2"/>
      <c r="L255" s="2">
        <v>1.4E-2</v>
      </c>
      <c r="M255" s="2"/>
      <c r="N255" s="5" t="s">
        <v>397</v>
      </c>
      <c r="O255" s="2">
        <v>2004</v>
      </c>
      <c r="P255" s="2" t="b">
        <v>1</v>
      </c>
    </row>
    <row r="256" spans="1:16">
      <c r="A256" s="2" t="s">
        <v>71</v>
      </c>
      <c r="B256" s="2" t="s">
        <v>337</v>
      </c>
      <c r="C256" s="2"/>
      <c r="D256" s="2" t="b">
        <v>1</v>
      </c>
      <c r="E256" s="2" t="b">
        <v>1</v>
      </c>
      <c r="F256" s="2"/>
      <c r="G256" s="2">
        <v>22</v>
      </c>
      <c r="H256" s="2"/>
      <c r="I256" s="2"/>
      <c r="J256" s="2">
        <v>1.7</v>
      </c>
      <c r="K256" s="2"/>
      <c r="L256" s="2">
        <v>2.8000000000000001E-2</v>
      </c>
      <c r="M256" s="2"/>
      <c r="N256" s="5" t="s">
        <v>338</v>
      </c>
      <c r="O256" s="2">
        <v>1999</v>
      </c>
      <c r="P256" s="2" t="b">
        <v>1</v>
      </c>
    </row>
    <row r="257" spans="1:16">
      <c r="A257" s="2" t="s">
        <v>71</v>
      </c>
      <c r="B257" s="2" t="s">
        <v>339</v>
      </c>
      <c r="C257" s="2" t="s">
        <v>340</v>
      </c>
      <c r="D257" s="2" t="b">
        <v>1</v>
      </c>
      <c r="E257" s="2" t="b">
        <v>1</v>
      </c>
      <c r="F257" s="2"/>
      <c r="G257" s="2">
        <v>5</v>
      </c>
      <c r="H257" s="2"/>
      <c r="I257" s="2"/>
      <c r="J257" s="2">
        <v>2.5</v>
      </c>
      <c r="K257" s="2"/>
      <c r="L257" s="2">
        <v>3.3000000000000002E-2</v>
      </c>
      <c r="M257" s="2"/>
      <c r="N257" s="5" t="s">
        <v>338</v>
      </c>
      <c r="O257" s="2">
        <v>1999</v>
      </c>
      <c r="P257" s="2" t="b">
        <v>1</v>
      </c>
    </row>
    <row r="258" spans="1:16">
      <c r="A258" s="2" t="s">
        <v>71</v>
      </c>
      <c r="B258" s="2" t="s">
        <v>341</v>
      </c>
      <c r="C258" s="2" t="s">
        <v>342</v>
      </c>
      <c r="D258" s="2" t="b">
        <v>1</v>
      </c>
      <c r="E258" s="2" t="b">
        <v>1</v>
      </c>
      <c r="F258" s="2"/>
      <c r="G258" s="2">
        <v>20</v>
      </c>
      <c r="H258" s="2"/>
      <c r="I258" s="2"/>
      <c r="J258" s="2">
        <v>63</v>
      </c>
      <c r="K258" s="2"/>
      <c r="L258" s="2">
        <v>0.1</v>
      </c>
      <c r="M258" s="2"/>
      <c r="N258" s="5" t="s">
        <v>338</v>
      </c>
      <c r="O258" s="2">
        <v>1999</v>
      </c>
      <c r="P258" s="2" t="b">
        <v>1</v>
      </c>
    </row>
    <row r="259" spans="1:16">
      <c r="A259" s="2" t="s">
        <v>71</v>
      </c>
      <c r="B259" s="2" t="s">
        <v>337</v>
      </c>
      <c r="C259" s="2"/>
      <c r="D259" s="2" t="b">
        <v>1</v>
      </c>
      <c r="E259" s="2" t="b">
        <v>1</v>
      </c>
      <c r="F259" s="2"/>
      <c r="G259" s="2">
        <v>17</v>
      </c>
      <c r="H259" s="2"/>
      <c r="I259" s="2"/>
      <c r="J259" s="2">
        <v>3.3</v>
      </c>
      <c r="K259" s="2"/>
      <c r="L259" s="2">
        <v>2.7E-2</v>
      </c>
      <c r="M259" s="2"/>
      <c r="N259" s="5" t="s">
        <v>338</v>
      </c>
      <c r="O259" s="2">
        <v>1999</v>
      </c>
      <c r="P259" s="2" t="b">
        <v>1</v>
      </c>
    </row>
    <row r="260" spans="1:16">
      <c r="A260" s="2" t="s">
        <v>71</v>
      </c>
      <c r="B260" s="2" t="s">
        <v>339</v>
      </c>
      <c r="C260" s="2" t="s">
        <v>340</v>
      </c>
      <c r="D260" s="2" t="b">
        <v>1</v>
      </c>
      <c r="E260" s="2" t="b">
        <v>1</v>
      </c>
      <c r="F260" s="2"/>
      <c r="G260" s="2">
        <v>3</v>
      </c>
      <c r="H260" s="2"/>
      <c r="I260" s="2"/>
      <c r="J260" s="2">
        <v>8.1999999999999993</v>
      </c>
      <c r="K260" s="2"/>
      <c r="L260" s="2">
        <v>2.9000000000000001E-2</v>
      </c>
      <c r="M260" s="2"/>
      <c r="N260" s="5" t="s">
        <v>338</v>
      </c>
      <c r="O260" s="2">
        <v>1999</v>
      </c>
      <c r="P260" s="2" t="b">
        <v>1</v>
      </c>
    </row>
    <row r="261" spans="1:16">
      <c r="A261" s="2" t="s">
        <v>71</v>
      </c>
      <c r="B261" s="2" t="s">
        <v>341</v>
      </c>
      <c r="C261" s="2" t="s">
        <v>342</v>
      </c>
      <c r="D261" s="2" t="b">
        <v>1</v>
      </c>
      <c r="E261" s="2" t="b">
        <v>1</v>
      </c>
      <c r="F261" s="2"/>
      <c r="G261" s="2">
        <v>15</v>
      </c>
      <c r="H261" s="2"/>
      <c r="I261" s="2"/>
      <c r="J261" s="2">
        <v>77</v>
      </c>
      <c r="K261" s="2"/>
      <c r="L261" s="2">
        <v>9.5000000000000001E-2</v>
      </c>
      <c r="M261" s="2"/>
      <c r="N261" s="5" t="s">
        <v>338</v>
      </c>
      <c r="O261" s="2">
        <v>1999</v>
      </c>
      <c r="P261" s="2" t="b">
        <v>1</v>
      </c>
    </row>
    <row r="262" spans="1:16">
      <c r="A262" s="2" t="s">
        <v>71</v>
      </c>
      <c r="B262" s="2" t="s">
        <v>337</v>
      </c>
      <c r="C262" s="2"/>
      <c r="D262" s="2" t="b">
        <v>1</v>
      </c>
      <c r="E262" s="2" t="b">
        <v>1</v>
      </c>
      <c r="F262" s="2"/>
      <c r="G262" s="2">
        <v>12</v>
      </c>
      <c r="H262" s="2"/>
      <c r="I262" s="2"/>
      <c r="J262" s="2">
        <v>5.7</v>
      </c>
      <c r="K262" s="2"/>
      <c r="L262" s="2">
        <v>0.02</v>
      </c>
      <c r="M262" s="2"/>
      <c r="N262" s="5" t="s">
        <v>338</v>
      </c>
      <c r="O262" s="2">
        <v>1999</v>
      </c>
      <c r="P262" s="2" t="b">
        <v>1</v>
      </c>
    </row>
    <row r="263" spans="1:16">
      <c r="A263" s="2" t="s">
        <v>71</v>
      </c>
      <c r="B263" s="2" t="s">
        <v>339</v>
      </c>
      <c r="C263" s="2" t="s">
        <v>340</v>
      </c>
      <c r="D263" s="2" t="b">
        <v>1</v>
      </c>
      <c r="E263" s="2" t="b">
        <v>1</v>
      </c>
      <c r="F263" s="2"/>
      <c r="G263" s="2">
        <v>1</v>
      </c>
      <c r="H263" s="2"/>
      <c r="I263" s="2"/>
      <c r="J263" s="2">
        <v>4.7</v>
      </c>
      <c r="K263" s="2"/>
      <c r="L263" s="2">
        <v>2.1999999999999999E-2</v>
      </c>
      <c r="M263" s="2"/>
      <c r="N263" s="5" t="s">
        <v>338</v>
      </c>
      <c r="O263" s="2">
        <v>1999</v>
      </c>
      <c r="P263" s="2" t="b">
        <v>1</v>
      </c>
    </row>
    <row r="264" spans="1:16">
      <c r="A264" s="2" t="s">
        <v>71</v>
      </c>
      <c r="B264" s="2" t="s">
        <v>341</v>
      </c>
      <c r="C264" s="2" t="s">
        <v>342</v>
      </c>
      <c r="D264" s="2" t="b">
        <v>1</v>
      </c>
      <c r="E264" s="2" t="b">
        <v>1</v>
      </c>
      <c r="F264" s="2"/>
      <c r="G264" s="2">
        <v>10</v>
      </c>
      <c r="H264" s="2"/>
      <c r="I264" s="2"/>
      <c r="J264" s="2">
        <v>71</v>
      </c>
      <c r="K264" s="2"/>
      <c r="L264" s="2">
        <v>4.4999999999999998E-2</v>
      </c>
      <c r="M264" s="2"/>
      <c r="N264" s="5" t="s">
        <v>338</v>
      </c>
      <c r="O264" s="2">
        <v>1999</v>
      </c>
      <c r="P264" s="2" t="b">
        <v>1</v>
      </c>
    </row>
    <row r="265" spans="1:16">
      <c r="A265" s="2" t="s">
        <v>71</v>
      </c>
      <c r="B265" s="2" t="s">
        <v>341</v>
      </c>
      <c r="C265" s="2" t="s">
        <v>342</v>
      </c>
      <c r="D265" s="2" t="b">
        <v>1</v>
      </c>
      <c r="E265" s="2" t="b">
        <v>1</v>
      </c>
      <c r="F265" s="2"/>
      <c r="G265" s="2">
        <v>25</v>
      </c>
      <c r="H265" s="2"/>
      <c r="I265" s="2"/>
      <c r="J265" s="2">
        <v>19</v>
      </c>
      <c r="K265" s="2"/>
      <c r="L265" s="2">
        <v>7.8E-2</v>
      </c>
      <c r="M265" s="2"/>
      <c r="N265" s="5" t="s">
        <v>338</v>
      </c>
      <c r="O265" s="2">
        <v>1999</v>
      </c>
      <c r="P265" s="2" t="b">
        <v>1</v>
      </c>
    </row>
    <row r="266" spans="1:16">
      <c r="A266" s="2" t="s">
        <v>71</v>
      </c>
      <c r="B266" s="2" t="s">
        <v>415</v>
      </c>
      <c r="C266" s="2"/>
      <c r="D266" s="2" t="b">
        <v>1</v>
      </c>
      <c r="E266" s="2" t="b">
        <v>1</v>
      </c>
      <c r="F266" s="2"/>
      <c r="G266" s="2">
        <v>25</v>
      </c>
      <c r="H266" s="2"/>
      <c r="I266" s="2"/>
      <c r="J266" s="2">
        <v>7</v>
      </c>
      <c r="K266" s="2"/>
      <c r="L266" s="2">
        <v>3.5999999999999997E-2</v>
      </c>
      <c r="M266" s="2"/>
      <c r="N266" s="5" t="s">
        <v>428</v>
      </c>
      <c r="O266" s="2">
        <v>1997</v>
      </c>
      <c r="P266" s="2" t="b">
        <v>1</v>
      </c>
    </row>
    <row r="267" spans="1:16">
      <c r="A267" s="2" t="s">
        <v>71</v>
      </c>
      <c r="B267" s="2" t="s">
        <v>53</v>
      </c>
      <c r="C267" s="2"/>
      <c r="D267" s="2" t="b">
        <v>1</v>
      </c>
      <c r="E267" s="2" t="b">
        <v>1</v>
      </c>
      <c r="F267" s="2"/>
      <c r="G267" s="2">
        <v>20</v>
      </c>
      <c r="H267" s="2"/>
      <c r="I267" s="2"/>
      <c r="J267" s="2">
        <v>4.4999999999999998E-2</v>
      </c>
      <c r="K267" s="2"/>
      <c r="L267" s="2">
        <v>5.0999999999999997E-2</v>
      </c>
      <c r="M267" s="2"/>
      <c r="N267" s="5" t="s">
        <v>344</v>
      </c>
      <c r="O267" s="2">
        <v>1978</v>
      </c>
      <c r="P267" s="2" t="b">
        <v>1</v>
      </c>
    </row>
    <row r="268" spans="1:16">
      <c r="A268" s="2" t="s">
        <v>71</v>
      </c>
      <c r="B268" s="2" t="s">
        <v>352</v>
      </c>
      <c r="C268" s="2"/>
      <c r="D268" s="2" t="b">
        <v>1</v>
      </c>
      <c r="E268" s="2" t="b">
        <v>0</v>
      </c>
      <c r="F268" s="2"/>
      <c r="G268" s="2">
        <v>20</v>
      </c>
      <c r="H268" s="2"/>
      <c r="I268" s="2"/>
      <c r="J268" s="2">
        <v>1.2</v>
      </c>
      <c r="K268" s="2"/>
      <c r="L268" s="2">
        <v>3.5999999999999997E-2</v>
      </c>
      <c r="M268" s="2" t="s">
        <v>429</v>
      </c>
      <c r="N268" s="5" t="s">
        <v>430</v>
      </c>
      <c r="O268" s="2">
        <v>1980</v>
      </c>
      <c r="P268" s="2" t="b">
        <v>1</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DCD0-8EDA-E644-AB3E-2FFDC4DB84D7}">
  <dimension ref="A1:Z23"/>
  <sheetViews>
    <sheetView workbookViewId="0">
      <selection activeCell="J12" sqref="J12"/>
    </sheetView>
  </sheetViews>
  <sheetFormatPr baseColWidth="10" defaultRowHeight="16"/>
  <cols>
    <col min="1" max="8" width="10.83203125" style="54"/>
    <col min="9" max="9" width="16.1640625" style="54" customWidth="1"/>
    <col min="10" max="10" width="16.6640625" style="54" customWidth="1"/>
    <col min="11" max="11" width="17" style="54" customWidth="1"/>
    <col min="12" max="13" width="10.83203125" style="54"/>
    <col min="14" max="14" width="11.6640625" style="54" bestFit="1" customWidth="1"/>
    <col min="15" max="19" width="10.83203125" style="54"/>
    <col min="27" max="16384" width="10.83203125" style="54"/>
  </cols>
  <sheetData>
    <row r="1" spans="1:19" ht="27" customHeight="1">
      <c r="A1" s="53" t="s">
        <v>449</v>
      </c>
    </row>
    <row r="2" spans="1:19" ht="19" customHeight="1">
      <c r="A2" s="54" t="s">
        <v>448</v>
      </c>
    </row>
    <row r="3" spans="1:19" s="54" customFormat="1" ht="45" customHeight="1">
      <c r="A3" s="55" t="s">
        <v>0</v>
      </c>
      <c r="B3" s="55" t="s">
        <v>1</v>
      </c>
      <c r="C3" s="56" t="s">
        <v>2</v>
      </c>
      <c r="D3" s="55" t="s">
        <v>3</v>
      </c>
      <c r="E3" s="55" t="s">
        <v>4</v>
      </c>
      <c r="F3" s="55" t="s">
        <v>5</v>
      </c>
      <c r="G3" s="55" t="s">
        <v>6</v>
      </c>
      <c r="H3" s="55" t="s">
        <v>7</v>
      </c>
      <c r="I3" s="57" t="s">
        <v>450</v>
      </c>
      <c r="J3" s="58" t="s">
        <v>479</v>
      </c>
      <c r="K3" s="58" t="s">
        <v>480</v>
      </c>
      <c r="L3" s="59" t="s">
        <v>486</v>
      </c>
      <c r="M3" s="60" t="s">
        <v>8</v>
      </c>
      <c r="N3" s="60" t="s">
        <v>9</v>
      </c>
      <c r="O3" s="60" t="s">
        <v>10</v>
      </c>
      <c r="P3" s="60" t="s">
        <v>11</v>
      </c>
      <c r="Q3" s="61" t="s">
        <v>12</v>
      </c>
      <c r="R3" s="62" t="s">
        <v>13</v>
      </c>
      <c r="S3" s="63" t="s">
        <v>14</v>
      </c>
    </row>
    <row r="4" spans="1:19" ht="33" customHeight="1">
      <c r="A4" s="64" t="s">
        <v>16</v>
      </c>
      <c r="B4" s="64" t="s">
        <v>17</v>
      </c>
      <c r="C4" s="65" t="s">
        <v>18</v>
      </c>
      <c r="D4" s="64"/>
      <c r="E4" s="64"/>
      <c r="F4" s="64" t="s">
        <v>19</v>
      </c>
      <c r="G4" s="64">
        <v>37</v>
      </c>
      <c r="H4" s="64" t="s">
        <v>20</v>
      </c>
      <c r="I4" s="64"/>
      <c r="J4" s="64"/>
      <c r="K4" s="64"/>
      <c r="M4" s="64" t="s">
        <v>21</v>
      </c>
      <c r="N4" s="64">
        <v>39.799999999999997</v>
      </c>
      <c r="O4" s="66"/>
      <c r="P4" s="64">
        <v>0.76</v>
      </c>
      <c r="Q4" s="66"/>
      <c r="R4" s="66" t="s">
        <v>478</v>
      </c>
      <c r="S4" s="54">
        <v>1978</v>
      </c>
    </row>
    <row r="5" spans="1:19" ht="33" customHeight="1">
      <c r="A5" s="64" t="s">
        <v>16</v>
      </c>
      <c r="B5" s="64" t="s">
        <v>17</v>
      </c>
      <c r="C5" s="65" t="s">
        <v>22</v>
      </c>
      <c r="D5" s="64"/>
      <c r="E5" s="64"/>
      <c r="F5" s="64" t="s">
        <v>19</v>
      </c>
      <c r="G5" s="64">
        <v>20</v>
      </c>
      <c r="H5" s="64" t="s">
        <v>20</v>
      </c>
      <c r="I5" s="64" t="s">
        <v>451</v>
      </c>
      <c r="J5" s="64" t="s">
        <v>452</v>
      </c>
      <c r="K5" s="64">
        <v>1.98</v>
      </c>
      <c r="L5" s="54" t="s">
        <v>487</v>
      </c>
      <c r="M5" s="64" t="s">
        <v>23</v>
      </c>
      <c r="N5" s="64">
        <v>47</v>
      </c>
      <c r="O5" s="66"/>
      <c r="P5" s="64">
        <v>0.55000000000000004</v>
      </c>
      <c r="Q5" s="66" t="s">
        <v>24</v>
      </c>
      <c r="R5" s="67" t="s">
        <v>477</v>
      </c>
      <c r="S5" s="54">
        <v>1982</v>
      </c>
    </row>
    <row r="6" spans="1:19" ht="33" customHeight="1">
      <c r="A6" s="64" t="s">
        <v>16</v>
      </c>
      <c r="B6" s="64" t="s">
        <v>17</v>
      </c>
      <c r="C6" s="65" t="s">
        <v>39</v>
      </c>
      <c r="D6" s="64"/>
      <c r="E6" s="64"/>
      <c r="F6" s="64" t="s">
        <v>19</v>
      </c>
      <c r="G6" s="64">
        <v>37</v>
      </c>
      <c r="H6" s="64" t="s">
        <v>40</v>
      </c>
      <c r="I6" s="64"/>
      <c r="J6" s="64"/>
      <c r="K6" s="64"/>
      <c r="M6" s="64" t="s">
        <v>41</v>
      </c>
      <c r="N6" s="64">
        <v>3</v>
      </c>
      <c r="O6" s="66"/>
      <c r="P6" s="64">
        <v>0.46079999999999999</v>
      </c>
      <c r="Q6" s="66"/>
      <c r="R6" s="66" t="s">
        <v>42</v>
      </c>
      <c r="S6" s="54">
        <v>1977</v>
      </c>
    </row>
    <row r="7" spans="1:19" ht="33" customHeight="1">
      <c r="A7" s="64" t="s">
        <v>16</v>
      </c>
      <c r="B7" s="64" t="s">
        <v>17</v>
      </c>
      <c r="C7" s="65" t="s">
        <v>44</v>
      </c>
      <c r="D7" s="64"/>
      <c r="E7" s="64"/>
      <c r="F7" s="64" t="s">
        <v>19</v>
      </c>
      <c r="G7" s="64">
        <v>37</v>
      </c>
      <c r="H7" s="64" t="s">
        <v>49</v>
      </c>
      <c r="I7" s="64" t="s">
        <v>453</v>
      </c>
      <c r="J7" s="64" t="s">
        <v>454</v>
      </c>
      <c r="K7" s="64">
        <v>3.48</v>
      </c>
      <c r="L7" s="54" t="s">
        <v>488</v>
      </c>
      <c r="M7" s="64" t="s">
        <v>50</v>
      </c>
      <c r="N7" s="64">
        <v>5</v>
      </c>
      <c r="O7" s="66" t="s">
        <v>51</v>
      </c>
      <c r="P7" s="64">
        <v>0.9</v>
      </c>
      <c r="Q7" s="66" t="s">
        <v>52</v>
      </c>
      <c r="R7" s="66" t="s">
        <v>455</v>
      </c>
      <c r="S7" s="54">
        <v>2013</v>
      </c>
    </row>
    <row r="8" spans="1:19" ht="33" customHeight="1">
      <c r="A8" s="64" t="s">
        <v>16</v>
      </c>
      <c r="B8" s="64" t="s">
        <v>17</v>
      </c>
      <c r="C8" s="68" t="s">
        <v>60</v>
      </c>
      <c r="D8" s="69"/>
      <c r="E8" s="69"/>
      <c r="F8" s="64" t="s">
        <v>33</v>
      </c>
      <c r="G8" s="64">
        <v>37</v>
      </c>
      <c r="H8" s="64" t="s">
        <v>20</v>
      </c>
      <c r="I8" s="64"/>
      <c r="J8" s="64"/>
      <c r="K8" s="64"/>
      <c r="M8" s="64" t="s">
        <v>61</v>
      </c>
      <c r="N8" s="69">
        <v>0.18</v>
      </c>
      <c r="O8" s="69"/>
      <c r="P8" s="64">
        <v>0.76</v>
      </c>
      <c r="Q8" s="69"/>
      <c r="R8" s="66" t="s">
        <v>62</v>
      </c>
      <c r="S8" s="54">
        <v>1985</v>
      </c>
    </row>
    <row r="9" spans="1:19" ht="33" customHeight="1">
      <c r="A9" s="64" t="s">
        <v>16</v>
      </c>
      <c r="B9" s="64" t="s">
        <v>17</v>
      </c>
      <c r="C9" s="65" t="s">
        <v>60</v>
      </c>
      <c r="D9" s="64"/>
      <c r="E9" s="64"/>
      <c r="F9" s="64" t="s">
        <v>33</v>
      </c>
      <c r="G9" s="64">
        <v>28.4</v>
      </c>
      <c r="H9" s="64" t="s">
        <v>20</v>
      </c>
      <c r="I9" s="64"/>
      <c r="J9" s="64"/>
      <c r="K9" s="64"/>
      <c r="M9" s="64" t="s">
        <v>61</v>
      </c>
      <c r="N9" s="64">
        <v>0.18</v>
      </c>
      <c r="O9" s="66"/>
      <c r="P9" s="64">
        <v>0.54</v>
      </c>
      <c r="Q9" s="66"/>
      <c r="R9" s="66" t="s">
        <v>62</v>
      </c>
      <c r="S9" s="54">
        <v>1985</v>
      </c>
    </row>
    <row r="10" spans="1:19" ht="33" customHeight="1">
      <c r="A10" s="64" t="s">
        <v>16</v>
      </c>
      <c r="B10" s="64" t="s">
        <v>17</v>
      </c>
      <c r="C10" s="65" t="s">
        <v>60</v>
      </c>
      <c r="D10" s="64"/>
      <c r="E10" s="64"/>
      <c r="F10" s="64" t="s">
        <v>33</v>
      </c>
      <c r="G10" s="64">
        <v>17.399999999999999</v>
      </c>
      <c r="H10" s="64" t="s">
        <v>20</v>
      </c>
      <c r="I10" s="64"/>
      <c r="J10" s="64"/>
      <c r="K10" s="64"/>
      <c r="M10" s="64" t="s">
        <v>61</v>
      </c>
      <c r="N10" s="64">
        <v>0.18</v>
      </c>
      <c r="O10" s="66"/>
      <c r="P10" s="64">
        <v>0.19</v>
      </c>
      <c r="Q10" s="66"/>
      <c r="R10" s="70" t="s">
        <v>62</v>
      </c>
      <c r="S10" s="54">
        <v>1985</v>
      </c>
    </row>
    <row r="11" spans="1:19" ht="33" customHeight="1">
      <c r="A11" s="64" t="s">
        <v>16</v>
      </c>
      <c r="B11" s="64" t="s">
        <v>17</v>
      </c>
      <c r="C11" s="65" t="s">
        <v>85</v>
      </c>
      <c r="D11" s="64"/>
      <c r="E11" s="64"/>
      <c r="F11" s="64" t="s">
        <v>19</v>
      </c>
      <c r="G11" s="64">
        <v>26</v>
      </c>
      <c r="H11" s="64" t="s">
        <v>20</v>
      </c>
      <c r="I11" s="64"/>
      <c r="J11" s="64"/>
      <c r="K11" s="64"/>
      <c r="M11" s="64" t="s">
        <v>86</v>
      </c>
      <c r="N11" s="64">
        <v>13</v>
      </c>
      <c r="O11" s="66"/>
      <c r="P11" s="64">
        <v>0.55000000000000004</v>
      </c>
      <c r="Q11" s="66"/>
      <c r="R11" s="67" t="s">
        <v>87</v>
      </c>
      <c r="S11" s="54">
        <v>1993</v>
      </c>
    </row>
    <row r="12" spans="1:19" ht="33" customHeight="1">
      <c r="A12" s="69" t="s">
        <v>16</v>
      </c>
      <c r="B12" s="69" t="s">
        <v>17</v>
      </c>
      <c r="C12" s="68"/>
      <c r="D12" s="69"/>
      <c r="E12" s="69"/>
      <c r="F12" s="69" t="s">
        <v>107</v>
      </c>
      <c r="G12" s="69">
        <v>20</v>
      </c>
      <c r="H12" s="64" t="s">
        <v>20</v>
      </c>
      <c r="I12" s="64"/>
      <c r="J12" s="64">
        <v>2.5</v>
      </c>
      <c r="K12" s="64">
        <v>2.5</v>
      </c>
      <c r="L12" s="54" t="s">
        <v>488</v>
      </c>
      <c r="M12" s="69" t="s">
        <v>108</v>
      </c>
      <c r="N12" s="69">
        <v>44</v>
      </c>
      <c r="P12" s="69">
        <v>0.65</v>
      </c>
      <c r="Q12" s="54" t="s">
        <v>109</v>
      </c>
      <c r="R12" s="66" t="s">
        <v>110</v>
      </c>
      <c r="S12" s="54">
        <v>1968</v>
      </c>
    </row>
    <row r="13" spans="1:19" ht="33" customHeight="1">
      <c r="A13" s="64" t="s">
        <v>16</v>
      </c>
      <c r="B13" s="64" t="s">
        <v>17</v>
      </c>
      <c r="C13" s="65" t="s">
        <v>145</v>
      </c>
      <c r="D13" s="64"/>
      <c r="E13" s="64"/>
      <c r="F13" s="64" t="s">
        <v>33</v>
      </c>
      <c r="G13" s="64">
        <v>37</v>
      </c>
      <c r="H13" s="64" t="s">
        <v>20</v>
      </c>
      <c r="I13" s="64"/>
      <c r="J13" s="64"/>
      <c r="K13" s="64"/>
      <c r="M13" s="64" t="s">
        <v>146</v>
      </c>
      <c r="N13" s="64">
        <v>0.59699999999999998</v>
      </c>
      <c r="O13" s="66"/>
      <c r="P13" s="64">
        <v>0.54</v>
      </c>
      <c r="Q13" s="66"/>
      <c r="R13" s="66" t="s">
        <v>147</v>
      </c>
      <c r="S13" s="54">
        <v>1982</v>
      </c>
    </row>
    <row r="14" spans="1:19" ht="33" customHeight="1">
      <c r="A14" s="64" t="s">
        <v>16</v>
      </c>
      <c r="B14" s="64" t="s">
        <v>17</v>
      </c>
      <c r="C14" s="65" t="s">
        <v>145</v>
      </c>
      <c r="D14" s="64"/>
      <c r="E14" s="64"/>
      <c r="F14" s="64" t="s">
        <v>19</v>
      </c>
      <c r="G14" s="64">
        <v>37</v>
      </c>
      <c r="H14" s="64" t="s">
        <v>20</v>
      </c>
      <c r="I14" s="64"/>
      <c r="J14" s="64"/>
      <c r="K14" s="64"/>
      <c r="M14" s="64" t="s">
        <v>148</v>
      </c>
      <c r="N14" s="64">
        <v>13</v>
      </c>
      <c r="O14" s="66"/>
      <c r="P14" s="64">
        <v>1.23</v>
      </c>
      <c r="Q14" s="66"/>
      <c r="R14" s="70" t="s">
        <v>147</v>
      </c>
      <c r="S14" s="54">
        <v>1982</v>
      </c>
    </row>
    <row r="15" spans="1:19" ht="33" customHeight="1">
      <c r="A15" s="64" t="s">
        <v>16</v>
      </c>
      <c r="B15" s="64" t="s">
        <v>17</v>
      </c>
      <c r="C15" s="65" t="s">
        <v>60</v>
      </c>
      <c r="D15" s="64"/>
      <c r="E15" s="64"/>
      <c r="F15" s="64" t="s">
        <v>33</v>
      </c>
      <c r="G15" s="64">
        <v>40</v>
      </c>
      <c r="H15" s="64" t="s">
        <v>20</v>
      </c>
      <c r="I15" s="64" t="s">
        <v>456</v>
      </c>
      <c r="J15" s="64" t="s">
        <v>457</v>
      </c>
      <c r="K15" s="64">
        <v>0.18</v>
      </c>
      <c r="L15" s="54" t="s">
        <v>488</v>
      </c>
      <c r="M15" s="64" t="s">
        <v>149</v>
      </c>
      <c r="N15" s="64">
        <v>0.19</v>
      </c>
      <c r="O15" s="66"/>
      <c r="P15" s="64">
        <v>0.75</v>
      </c>
      <c r="Q15" s="66"/>
      <c r="R15" s="71" t="s">
        <v>150</v>
      </c>
      <c r="S15" s="54">
        <v>1996</v>
      </c>
    </row>
    <row r="16" spans="1:19" ht="33" customHeight="1">
      <c r="A16" s="64" t="s">
        <v>16</v>
      </c>
      <c r="B16" s="64" t="s">
        <v>17</v>
      </c>
      <c r="C16" s="65" t="s">
        <v>185</v>
      </c>
      <c r="D16" s="64"/>
      <c r="E16" s="64"/>
      <c r="F16" s="64" t="s">
        <v>19</v>
      </c>
      <c r="G16" s="64">
        <v>37</v>
      </c>
      <c r="H16" s="64" t="s">
        <v>20</v>
      </c>
      <c r="I16" s="64"/>
      <c r="J16" s="64"/>
      <c r="K16" s="64"/>
      <c r="M16" s="64" t="s">
        <v>186</v>
      </c>
      <c r="N16" s="64">
        <v>22</v>
      </c>
      <c r="O16" s="66"/>
      <c r="P16" s="64">
        <v>0.94</v>
      </c>
      <c r="Q16" s="66"/>
      <c r="R16" s="66" t="s">
        <v>187</v>
      </c>
      <c r="S16" s="54">
        <v>1942</v>
      </c>
    </row>
    <row r="17" spans="1:19" ht="33" customHeight="1">
      <c r="A17" s="64" t="s">
        <v>16</v>
      </c>
      <c r="B17" s="64" t="s">
        <v>17</v>
      </c>
      <c r="C17" s="65"/>
      <c r="D17" s="64"/>
      <c r="E17" s="64"/>
      <c r="F17" s="64" t="s">
        <v>33</v>
      </c>
      <c r="G17" s="64">
        <v>30</v>
      </c>
      <c r="H17" s="64" t="s">
        <v>20</v>
      </c>
      <c r="I17" s="64" t="s">
        <v>458</v>
      </c>
      <c r="J17" s="64">
        <v>1.875</v>
      </c>
      <c r="K17" s="64">
        <v>1.875</v>
      </c>
      <c r="L17" s="54" t="s">
        <v>489</v>
      </c>
      <c r="M17" s="64" t="s">
        <v>459</v>
      </c>
      <c r="N17" s="64">
        <v>490</v>
      </c>
      <c r="O17" s="66"/>
      <c r="P17" s="64">
        <v>0.98499999999999999</v>
      </c>
      <c r="Q17" s="66" t="s">
        <v>460</v>
      </c>
      <c r="R17" s="67" t="s">
        <v>230</v>
      </c>
      <c r="S17" s="54">
        <v>1964</v>
      </c>
    </row>
    <row r="18" spans="1:19" ht="33" customHeight="1">
      <c r="A18" s="64" t="s">
        <v>16</v>
      </c>
      <c r="B18" s="64" t="s">
        <v>17</v>
      </c>
      <c r="C18" s="68" t="s">
        <v>60</v>
      </c>
      <c r="D18" s="69"/>
      <c r="E18" s="69"/>
      <c r="F18" s="64" t="s">
        <v>33</v>
      </c>
      <c r="G18" s="64">
        <v>37</v>
      </c>
      <c r="H18" s="64" t="s">
        <v>20</v>
      </c>
      <c r="I18" s="64" t="s">
        <v>456</v>
      </c>
      <c r="J18" s="64" t="s">
        <v>461</v>
      </c>
      <c r="K18" s="64">
        <v>2.2200000000000001E-5</v>
      </c>
      <c r="L18" s="54" t="s">
        <v>488</v>
      </c>
      <c r="M18" s="64" t="s">
        <v>231</v>
      </c>
      <c r="N18" s="69">
        <v>0.3</v>
      </c>
      <c r="O18" s="69"/>
      <c r="P18" s="64">
        <v>0.8</v>
      </c>
      <c r="Q18" s="69"/>
      <c r="R18" s="66" t="s">
        <v>232</v>
      </c>
      <c r="S18" s="54">
        <v>1994</v>
      </c>
    </row>
    <row r="19" spans="1:19" ht="33" customHeight="1">
      <c r="A19" s="64" t="s">
        <v>16</v>
      </c>
      <c r="B19" s="64" t="s">
        <v>17</v>
      </c>
      <c r="C19" s="68" t="s">
        <v>60</v>
      </c>
      <c r="D19" s="69"/>
      <c r="E19" s="69"/>
      <c r="F19" s="64" t="s">
        <v>33</v>
      </c>
      <c r="G19" s="64">
        <v>37</v>
      </c>
      <c r="H19" s="64" t="s">
        <v>20</v>
      </c>
      <c r="I19" s="64" t="s">
        <v>456</v>
      </c>
      <c r="J19" s="64" t="s">
        <v>461</v>
      </c>
      <c r="K19" s="64">
        <v>2.2200000000000001E-5</v>
      </c>
      <c r="L19" s="54" t="s">
        <v>488</v>
      </c>
      <c r="M19" s="64" t="s">
        <v>233</v>
      </c>
      <c r="N19" s="64">
        <v>0.4</v>
      </c>
      <c r="O19" s="69"/>
      <c r="P19" s="64">
        <v>0.92</v>
      </c>
      <c r="Q19" s="69"/>
      <c r="R19" s="66" t="s">
        <v>232</v>
      </c>
      <c r="S19" s="54">
        <v>1994</v>
      </c>
    </row>
    <row r="20" spans="1:19" ht="33" customHeight="1">
      <c r="A20" s="72" t="s">
        <v>16</v>
      </c>
      <c r="B20" s="69" t="s">
        <v>17</v>
      </c>
      <c r="C20" s="68" t="s">
        <v>155</v>
      </c>
      <c r="D20" s="69"/>
      <c r="E20" s="69"/>
      <c r="F20" s="69" t="s">
        <v>19</v>
      </c>
      <c r="G20" s="69">
        <v>30</v>
      </c>
      <c r="H20" s="64" t="s">
        <v>20</v>
      </c>
      <c r="I20" s="64" t="s">
        <v>462</v>
      </c>
      <c r="J20" s="64" t="s">
        <v>463</v>
      </c>
      <c r="K20" s="64">
        <v>1.8000000000000001E-4</v>
      </c>
      <c r="L20" s="54" t="s">
        <v>488</v>
      </c>
      <c r="M20" s="69" t="s">
        <v>236</v>
      </c>
      <c r="N20" s="69">
        <v>0.38</v>
      </c>
      <c r="O20" s="69"/>
      <c r="P20" s="69">
        <v>0.78</v>
      </c>
      <c r="Q20" s="69" t="s">
        <v>24</v>
      </c>
      <c r="R20" s="66" t="s">
        <v>237</v>
      </c>
      <c r="S20" s="54">
        <v>1971</v>
      </c>
    </row>
    <row r="21" spans="1:19" ht="33" customHeight="1">
      <c r="A21" s="73" t="s">
        <v>16</v>
      </c>
      <c r="B21" s="66" t="s">
        <v>17</v>
      </c>
      <c r="C21" s="68" t="s">
        <v>300</v>
      </c>
      <c r="D21" s="69"/>
      <c r="E21" s="69"/>
      <c r="F21" s="66" t="s">
        <v>19</v>
      </c>
      <c r="G21" s="69">
        <v>37</v>
      </c>
      <c r="H21" s="64" t="s">
        <v>20</v>
      </c>
      <c r="I21" s="64"/>
      <c r="J21" s="64"/>
      <c r="K21" s="64"/>
      <c r="L21" s="54" t="s">
        <v>488</v>
      </c>
      <c r="M21" s="66" t="s">
        <v>301</v>
      </c>
      <c r="N21" s="69">
        <v>0.40400000000000003</v>
      </c>
      <c r="O21" s="69"/>
      <c r="P21" s="69">
        <v>0.77259999999999995</v>
      </c>
      <c r="Q21" s="66" t="s">
        <v>302</v>
      </c>
      <c r="R21" s="66" t="s">
        <v>303</v>
      </c>
      <c r="S21" s="74">
        <v>1994</v>
      </c>
    </row>
    <row r="22" spans="1:19" ht="33" customHeight="1">
      <c r="A22" s="73" t="s">
        <v>16</v>
      </c>
      <c r="B22" s="66" t="s">
        <v>17</v>
      </c>
      <c r="C22" s="68" t="s">
        <v>304</v>
      </c>
      <c r="D22" s="69"/>
      <c r="E22" s="69"/>
      <c r="F22" s="66" t="s">
        <v>19</v>
      </c>
      <c r="G22" s="69">
        <v>37</v>
      </c>
      <c r="H22" s="64" t="s">
        <v>20</v>
      </c>
      <c r="I22" s="64"/>
      <c r="J22" s="64"/>
      <c r="K22" s="64"/>
      <c r="L22" s="54" t="s">
        <v>488</v>
      </c>
      <c r="M22" s="66" t="s">
        <v>305</v>
      </c>
      <c r="N22" s="69">
        <v>0.48899999999999999</v>
      </c>
      <c r="O22" s="69"/>
      <c r="P22" s="69">
        <v>0.88870000000000005</v>
      </c>
      <c r="Q22" s="66" t="s">
        <v>306</v>
      </c>
      <c r="R22" s="66" t="s">
        <v>303</v>
      </c>
      <c r="S22" s="74">
        <v>1994</v>
      </c>
    </row>
    <row r="23" spans="1:19" ht="33" customHeight="1">
      <c r="A23" s="64" t="s">
        <v>16</v>
      </c>
      <c r="B23" s="64" t="s">
        <v>17</v>
      </c>
      <c r="C23" s="65" t="s">
        <v>307</v>
      </c>
      <c r="D23" s="64"/>
      <c r="E23" s="64"/>
      <c r="F23" s="64" t="s">
        <v>19</v>
      </c>
      <c r="G23" s="64">
        <v>37</v>
      </c>
      <c r="H23" s="64" t="s">
        <v>20</v>
      </c>
      <c r="I23" s="64" t="s">
        <v>464</v>
      </c>
      <c r="J23" s="64" t="s">
        <v>465</v>
      </c>
      <c r="K23" s="64">
        <v>0.66</v>
      </c>
      <c r="L23" s="54" t="s">
        <v>490</v>
      </c>
      <c r="M23" s="64" t="s">
        <v>308</v>
      </c>
      <c r="N23" s="64">
        <v>1</v>
      </c>
      <c r="O23" s="70"/>
      <c r="P23" s="64">
        <v>1.04</v>
      </c>
      <c r="Q23" s="66"/>
      <c r="R23" s="75" t="s">
        <v>309</v>
      </c>
      <c r="S23" s="54">
        <v>1971</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FA10-85B4-444A-9FF0-791515AF2A99}">
  <dimension ref="A1:O21"/>
  <sheetViews>
    <sheetView workbookViewId="0">
      <selection activeCell="P9" sqref="P9"/>
    </sheetView>
  </sheetViews>
  <sheetFormatPr baseColWidth="10" defaultRowHeight="35" customHeight="1"/>
  <cols>
    <col min="1" max="1" width="10.83203125" style="15"/>
    <col min="2" max="2" width="17.33203125" style="15" customWidth="1"/>
    <col min="3" max="9" width="10.83203125" style="15"/>
    <col min="10" max="10" width="11.6640625" style="15" bestFit="1" customWidth="1"/>
    <col min="11" max="11" width="23.33203125" style="15" customWidth="1"/>
    <col min="12" max="16384" width="10.83203125" style="15"/>
  </cols>
  <sheetData>
    <row r="1" spans="1:15" ht="35" customHeight="1">
      <c r="A1" s="14" t="s">
        <v>481</v>
      </c>
    </row>
    <row r="2" spans="1:15" ht="19" customHeight="1">
      <c r="A2" s="15" t="s">
        <v>448</v>
      </c>
    </row>
    <row r="3" spans="1:15" ht="33" customHeight="1">
      <c r="A3" s="16" t="s">
        <v>0</v>
      </c>
      <c r="B3" s="16" t="s">
        <v>1</v>
      </c>
      <c r="C3" s="17" t="s">
        <v>2</v>
      </c>
      <c r="D3" s="16" t="s">
        <v>3</v>
      </c>
      <c r="E3" s="16" t="s">
        <v>4</v>
      </c>
      <c r="F3" s="16" t="s">
        <v>5</v>
      </c>
      <c r="G3" s="16" t="s">
        <v>6</v>
      </c>
      <c r="H3" s="16" t="s">
        <v>7</v>
      </c>
      <c r="I3" s="18" t="s">
        <v>8</v>
      </c>
      <c r="J3" s="18" t="s">
        <v>9</v>
      </c>
      <c r="K3" s="19" t="s">
        <v>482</v>
      </c>
      <c r="L3" s="18" t="s">
        <v>11</v>
      </c>
      <c r="M3" s="20" t="s">
        <v>12</v>
      </c>
      <c r="N3" s="21" t="s">
        <v>13</v>
      </c>
      <c r="O3" s="22" t="s">
        <v>14</v>
      </c>
    </row>
    <row r="4" spans="1:15" s="28" customFormat="1" ht="35" customHeight="1">
      <c r="A4" s="23" t="s">
        <v>16</v>
      </c>
      <c r="B4" s="23" t="s">
        <v>133</v>
      </c>
      <c r="C4" s="24">
        <v>10558</v>
      </c>
      <c r="D4" s="23"/>
      <c r="E4" s="23"/>
      <c r="F4" s="23" t="s">
        <v>33</v>
      </c>
      <c r="G4" s="23">
        <v>37</v>
      </c>
      <c r="H4" s="23" t="s">
        <v>134</v>
      </c>
      <c r="I4" s="23" t="s">
        <v>135</v>
      </c>
      <c r="J4" s="25">
        <v>111</v>
      </c>
      <c r="K4" s="26">
        <f>J4/J5</f>
        <v>0.33944954128440369</v>
      </c>
      <c r="L4" s="23">
        <v>0.84</v>
      </c>
      <c r="M4" s="27" t="s">
        <v>121</v>
      </c>
      <c r="N4" s="23" t="s">
        <v>483</v>
      </c>
      <c r="O4" s="28">
        <v>1983</v>
      </c>
    </row>
    <row r="5" spans="1:15" s="28" customFormat="1" ht="35" customHeight="1">
      <c r="A5" s="23" t="s">
        <v>16</v>
      </c>
      <c r="B5" s="23" t="s">
        <v>133</v>
      </c>
      <c r="C5" s="24">
        <v>10558</v>
      </c>
      <c r="D5" s="23"/>
      <c r="E5" s="23"/>
      <c r="F5" s="23" t="s">
        <v>19</v>
      </c>
      <c r="G5" s="23">
        <v>37</v>
      </c>
      <c r="H5" s="23" t="s">
        <v>134</v>
      </c>
      <c r="I5" s="23" t="s">
        <v>137</v>
      </c>
      <c r="J5" s="25">
        <v>327</v>
      </c>
      <c r="K5" s="26"/>
      <c r="L5" s="23">
        <v>0.83</v>
      </c>
      <c r="M5" s="23"/>
      <c r="N5" s="23" t="s">
        <v>483</v>
      </c>
      <c r="O5" s="28">
        <v>1983</v>
      </c>
    </row>
    <row r="6" spans="1:15" s="33" customFormat="1" ht="35" customHeight="1">
      <c r="A6" s="29" t="s">
        <v>25</v>
      </c>
      <c r="B6" s="29" t="s">
        <v>26</v>
      </c>
      <c r="C6" s="30"/>
      <c r="D6" s="27" t="b">
        <v>1</v>
      </c>
      <c r="E6" s="27" t="b">
        <v>1</v>
      </c>
      <c r="F6" s="29" t="s">
        <v>19</v>
      </c>
      <c r="G6" s="29">
        <v>20</v>
      </c>
      <c r="H6" s="27" t="s">
        <v>28</v>
      </c>
      <c r="I6" s="29" t="s">
        <v>182</v>
      </c>
      <c r="J6" s="29">
        <v>0.88</v>
      </c>
      <c r="K6" s="31">
        <f>J7/J6</f>
        <v>1.4090909090909092</v>
      </c>
      <c r="L6" s="27">
        <v>4.5000000000000005E-2</v>
      </c>
      <c r="M6" s="29"/>
      <c r="N6" s="27" t="s">
        <v>484</v>
      </c>
      <c r="O6" s="32">
        <v>1982</v>
      </c>
    </row>
    <row r="7" spans="1:15" s="33" customFormat="1" ht="35" customHeight="1">
      <c r="A7" s="29" t="s">
        <v>25</v>
      </c>
      <c r="B7" s="27" t="s">
        <v>26</v>
      </c>
      <c r="C7" s="34"/>
      <c r="D7" s="27" t="b">
        <v>1</v>
      </c>
      <c r="E7" s="27" t="b">
        <v>1</v>
      </c>
      <c r="F7" s="27" t="s">
        <v>27</v>
      </c>
      <c r="G7" s="27">
        <v>20</v>
      </c>
      <c r="H7" s="27" t="s">
        <v>28</v>
      </c>
      <c r="I7" s="27" t="s">
        <v>184</v>
      </c>
      <c r="J7" s="35">
        <v>1.24</v>
      </c>
      <c r="K7" s="26"/>
      <c r="L7" s="27">
        <v>5.3999999999999999E-2</v>
      </c>
      <c r="M7" s="27" t="s">
        <v>121</v>
      </c>
      <c r="N7" s="27" t="s">
        <v>484</v>
      </c>
      <c r="O7" s="32">
        <v>1982</v>
      </c>
    </row>
    <row r="8" spans="1:15" s="28" customFormat="1" ht="33" customHeight="1">
      <c r="A8" s="25" t="s">
        <v>16</v>
      </c>
      <c r="B8" s="25" t="s">
        <v>17</v>
      </c>
      <c r="C8" s="36" t="s">
        <v>145</v>
      </c>
      <c r="D8" s="25"/>
      <c r="E8" s="25"/>
      <c r="F8" s="25" t="s">
        <v>33</v>
      </c>
      <c r="G8" s="25">
        <v>37</v>
      </c>
      <c r="H8" s="25" t="s">
        <v>20</v>
      </c>
      <c r="I8" s="25" t="s">
        <v>146</v>
      </c>
      <c r="J8" s="25">
        <v>0.59699999999999998</v>
      </c>
      <c r="K8" s="26">
        <f>J8/J9</f>
        <v>4.5923076923076921E-2</v>
      </c>
      <c r="L8" s="25">
        <v>0.54</v>
      </c>
      <c r="M8" s="27" t="s">
        <v>121</v>
      </c>
      <c r="N8" s="23" t="s">
        <v>147</v>
      </c>
      <c r="O8" s="28">
        <v>1982</v>
      </c>
    </row>
    <row r="9" spans="1:15" s="28" customFormat="1" ht="33" customHeight="1">
      <c r="A9" s="25" t="s">
        <v>16</v>
      </c>
      <c r="B9" s="25" t="s">
        <v>17</v>
      </c>
      <c r="C9" s="36" t="s">
        <v>145</v>
      </c>
      <c r="D9" s="25"/>
      <c r="E9" s="25"/>
      <c r="F9" s="25" t="s">
        <v>19</v>
      </c>
      <c r="G9" s="25">
        <v>37</v>
      </c>
      <c r="H9" s="25" t="s">
        <v>20</v>
      </c>
      <c r="I9" s="25" t="s">
        <v>148</v>
      </c>
      <c r="J9" s="25">
        <v>13</v>
      </c>
      <c r="K9" s="26"/>
      <c r="L9" s="25">
        <v>1.23</v>
      </c>
      <c r="M9" s="23"/>
      <c r="N9" s="37" t="s">
        <v>147</v>
      </c>
      <c r="O9" s="28">
        <v>1982</v>
      </c>
    </row>
    <row r="10" spans="1:15" s="33" customFormat="1" ht="33" customHeight="1">
      <c r="A10" s="35" t="s">
        <v>123</v>
      </c>
      <c r="B10" s="35" t="s">
        <v>111</v>
      </c>
      <c r="C10" s="38">
        <v>208</v>
      </c>
      <c r="D10" s="35"/>
      <c r="E10" s="35"/>
      <c r="F10" s="39" t="s">
        <v>107</v>
      </c>
      <c r="G10" s="35">
        <v>20</v>
      </c>
      <c r="H10" s="35" t="s">
        <v>112</v>
      </c>
      <c r="I10" s="35" t="s">
        <v>124</v>
      </c>
      <c r="J10" s="35">
        <v>10</v>
      </c>
      <c r="K10" s="26">
        <f>J11/J10</f>
        <v>5</v>
      </c>
      <c r="L10" s="35">
        <v>0.15</v>
      </c>
      <c r="M10" s="27"/>
      <c r="N10" s="27" t="s">
        <v>485</v>
      </c>
      <c r="O10" s="33">
        <v>1968</v>
      </c>
    </row>
    <row r="11" spans="1:15" s="33" customFormat="1" ht="33" customHeight="1">
      <c r="A11" s="35" t="s">
        <v>123</v>
      </c>
      <c r="B11" s="35" t="s">
        <v>111</v>
      </c>
      <c r="C11" s="38">
        <v>208</v>
      </c>
      <c r="D11" s="35"/>
      <c r="E11" s="35"/>
      <c r="F11" s="39" t="s">
        <v>107</v>
      </c>
      <c r="G11" s="35">
        <v>20</v>
      </c>
      <c r="H11" s="29" t="s">
        <v>112</v>
      </c>
      <c r="I11" s="35" t="s">
        <v>129</v>
      </c>
      <c r="J11" s="35">
        <v>50</v>
      </c>
      <c r="K11" s="26"/>
      <c r="L11" s="35">
        <v>0.4</v>
      </c>
      <c r="M11" s="27" t="s">
        <v>121</v>
      </c>
      <c r="N11" s="27" t="s">
        <v>485</v>
      </c>
      <c r="O11" s="32">
        <v>1968</v>
      </c>
    </row>
    <row r="12" spans="1:15" s="28" customFormat="1" ht="33" customHeight="1">
      <c r="A12" s="25" t="s">
        <v>123</v>
      </c>
      <c r="B12" s="25" t="s">
        <v>115</v>
      </c>
      <c r="C12" s="36">
        <v>204</v>
      </c>
      <c r="D12" s="25"/>
      <c r="E12" s="25"/>
      <c r="F12" s="40" t="s">
        <v>107</v>
      </c>
      <c r="G12" s="25">
        <v>20</v>
      </c>
      <c r="H12" s="41" t="s">
        <v>112</v>
      </c>
      <c r="I12" s="25" t="s">
        <v>125</v>
      </c>
      <c r="J12" s="25">
        <v>8</v>
      </c>
      <c r="K12" s="42">
        <f>J12:J13</f>
        <v>8</v>
      </c>
      <c r="L12" s="25">
        <v>0.15</v>
      </c>
      <c r="M12" s="23"/>
      <c r="N12" s="23" t="s">
        <v>485</v>
      </c>
      <c r="O12" s="28">
        <v>1968</v>
      </c>
    </row>
    <row r="13" spans="1:15" s="28" customFormat="1" ht="33" customHeight="1">
      <c r="A13" s="25" t="s">
        <v>123</v>
      </c>
      <c r="B13" s="25" t="s">
        <v>115</v>
      </c>
      <c r="C13" s="36">
        <v>204</v>
      </c>
      <c r="D13" s="25"/>
      <c r="E13" s="25"/>
      <c r="F13" s="40" t="s">
        <v>107</v>
      </c>
      <c r="G13" s="25">
        <v>20</v>
      </c>
      <c r="H13" s="41" t="s">
        <v>112</v>
      </c>
      <c r="I13" s="25" t="s">
        <v>130</v>
      </c>
      <c r="J13" s="25">
        <v>95</v>
      </c>
      <c r="K13" s="26"/>
      <c r="L13" s="25">
        <v>0.8</v>
      </c>
      <c r="M13" s="23" t="s">
        <v>121</v>
      </c>
      <c r="N13" s="23" t="s">
        <v>485</v>
      </c>
      <c r="O13" s="43">
        <v>1968</v>
      </c>
    </row>
    <row r="14" spans="1:15" s="50" customFormat="1" ht="33" customHeight="1">
      <c r="A14" s="44" t="s">
        <v>123</v>
      </c>
      <c r="B14" s="44" t="s">
        <v>126</v>
      </c>
      <c r="C14" s="45">
        <v>101</v>
      </c>
      <c r="D14" s="44"/>
      <c r="E14" s="44"/>
      <c r="F14" s="46" t="s">
        <v>107</v>
      </c>
      <c r="G14" s="44">
        <v>20</v>
      </c>
      <c r="H14" s="47" t="s">
        <v>112</v>
      </c>
      <c r="I14" s="44" t="s">
        <v>127</v>
      </c>
      <c r="J14" s="44">
        <v>30</v>
      </c>
      <c r="K14" s="26">
        <f>J15/J14</f>
        <v>4</v>
      </c>
      <c r="L14" s="44">
        <v>0.45</v>
      </c>
      <c r="M14" s="48"/>
      <c r="N14" s="48" t="s">
        <v>485</v>
      </c>
      <c r="O14" s="49">
        <v>1968</v>
      </c>
    </row>
    <row r="15" spans="1:15" s="50" customFormat="1" ht="33" customHeight="1">
      <c r="A15" s="44" t="s">
        <v>123</v>
      </c>
      <c r="B15" s="44" t="s">
        <v>126</v>
      </c>
      <c r="C15" s="45">
        <v>101</v>
      </c>
      <c r="D15" s="44"/>
      <c r="E15" s="44"/>
      <c r="F15" s="46" t="s">
        <v>107</v>
      </c>
      <c r="G15" s="44">
        <v>20</v>
      </c>
      <c r="H15" s="47" t="s">
        <v>112</v>
      </c>
      <c r="I15" s="44" t="s">
        <v>131</v>
      </c>
      <c r="J15" s="44">
        <v>120</v>
      </c>
      <c r="K15" s="26"/>
      <c r="L15" s="44">
        <v>1.1000000000000001</v>
      </c>
      <c r="M15" s="48" t="s">
        <v>121</v>
      </c>
      <c r="N15" s="51" t="s">
        <v>485</v>
      </c>
      <c r="O15" s="49">
        <v>1968</v>
      </c>
    </row>
    <row r="16" spans="1:15" s="28" customFormat="1" ht="33" customHeight="1">
      <c r="A16" s="25" t="s">
        <v>123</v>
      </c>
      <c r="B16" s="25" t="s">
        <v>118</v>
      </c>
      <c r="C16" s="36">
        <v>201</v>
      </c>
      <c r="D16" s="25"/>
      <c r="E16" s="25"/>
      <c r="F16" s="40" t="s">
        <v>107</v>
      </c>
      <c r="G16" s="25">
        <v>20</v>
      </c>
      <c r="H16" s="41" t="s">
        <v>112</v>
      </c>
      <c r="I16" s="25" t="s">
        <v>128</v>
      </c>
      <c r="J16" s="25">
        <v>90</v>
      </c>
      <c r="K16" s="26">
        <f>J17/J16</f>
        <v>1.6666666666666667</v>
      </c>
      <c r="L16" s="25">
        <v>0.8</v>
      </c>
      <c r="M16" s="23"/>
      <c r="N16" s="23" t="s">
        <v>485</v>
      </c>
      <c r="O16" s="43">
        <v>1968</v>
      </c>
    </row>
    <row r="17" spans="1:15" s="28" customFormat="1" ht="33" customHeight="1">
      <c r="A17" s="25" t="s">
        <v>123</v>
      </c>
      <c r="B17" s="25" t="s">
        <v>118</v>
      </c>
      <c r="C17" s="36">
        <v>201</v>
      </c>
      <c r="D17" s="25"/>
      <c r="E17" s="25"/>
      <c r="F17" s="40" t="s">
        <v>107</v>
      </c>
      <c r="G17" s="25">
        <v>20</v>
      </c>
      <c r="H17" s="41" t="s">
        <v>112</v>
      </c>
      <c r="I17" s="25" t="s">
        <v>132</v>
      </c>
      <c r="J17" s="25">
        <v>150</v>
      </c>
      <c r="K17" s="26"/>
      <c r="L17" s="25">
        <v>1.4</v>
      </c>
      <c r="M17" s="23" t="s">
        <v>121</v>
      </c>
      <c r="N17" s="23" t="s">
        <v>485</v>
      </c>
      <c r="O17" s="43">
        <v>1968</v>
      </c>
    </row>
    <row r="18" spans="1:15" s="50" customFormat="1" ht="33" customHeight="1">
      <c r="A18" s="44" t="s">
        <v>16</v>
      </c>
      <c r="B18" s="44" t="s">
        <v>111</v>
      </c>
      <c r="C18" s="45">
        <v>208</v>
      </c>
      <c r="D18" s="44"/>
      <c r="E18" s="44"/>
      <c r="F18" s="46" t="s">
        <v>107</v>
      </c>
      <c r="G18" s="44">
        <v>20</v>
      </c>
      <c r="H18" s="47" t="s">
        <v>112</v>
      </c>
      <c r="I18" s="44" t="s">
        <v>113</v>
      </c>
      <c r="J18" s="44">
        <v>30</v>
      </c>
      <c r="K18" s="52">
        <f>J19/J18</f>
        <v>4</v>
      </c>
      <c r="L18" s="44">
        <v>0.35</v>
      </c>
      <c r="M18" s="48"/>
      <c r="N18" s="47" t="s">
        <v>485</v>
      </c>
      <c r="O18" s="50">
        <v>1968</v>
      </c>
    </row>
    <row r="19" spans="1:15" s="50" customFormat="1" ht="33" customHeight="1">
      <c r="A19" s="44" t="s">
        <v>16</v>
      </c>
      <c r="B19" s="44" t="s">
        <v>111</v>
      </c>
      <c r="C19" s="45">
        <v>208</v>
      </c>
      <c r="D19" s="44"/>
      <c r="E19" s="44"/>
      <c r="F19" s="46" t="s">
        <v>107</v>
      </c>
      <c r="G19" s="44">
        <v>20</v>
      </c>
      <c r="H19" s="47" t="s">
        <v>112</v>
      </c>
      <c r="I19" s="44" t="s">
        <v>120</v>
      </c>
      <c r="J19" s="44">
        <v>120</v>
      </c>
      <c r="K19" s="26"/>
      <c r="L19" s="44">
        <v>0.9</v>
      </c>
      <c r="M19" s="48" t="s">
        <v>121</v>
      </c>
      <c r="N19" s="51" t="s">
        <v>485</v>
      </c>
      <c r="O19" s="50">
        <v>1968</v>
      </c>
    </row>
    <row r="20" spans="1:15" s="28" customFormat="1" ht="33" customHeight="1">
      <c r="A20" s="25" t="s">
        <v>16</v>
      </c>
      <c r="B20" s="25" t="s">
        <v>118</v>
      </c>
      <c r="C20" s="36">
        <v>201</v>
      </c>
      <c r="D20" s="25"/>
      <c r="E20" s="25"/>
      <c r="F20" s="40" t="s">
        <v>107</v>
      </c>
      <c r="G20" s="25">
        <v>20</v>
      </c>
      <c r="H20" s="41" t="s">
        <v>112</v>
      </c>
      <c r="I20" s="25" t="s">
        <v>119</v>
      </c>
      <c r="J20" s="25">
        <v>105</v>
      </c>
      <c r="K20" s="26">
        <f>J21/J20</f>
        <v>1.7142857142857142</v>
      </c>
      <c r="L20" s="25">
        <v>0.95</v>
      </c>
      <c r="M20" s="23"/>
      <c r="N20" s="41" t="s">
        <v>485</v>
      </c>
      <c r="O20" s="28">
        <v>1968</v>
      </c>
    </row>
    <row r="21" spans="1:15" s="28" customFormat="1" ht="33" customHeight="1">
      <c r="A21" s="25" t="s">
        <v>16</v>
      </c>
      <c r="B21" s="25" t="s">
        <v>118</v>
      </c>
      <c r="C21" s="36">
        <v>201</v>
      </c>
      <c r="D21" s="25"/>
      <c r="E21" s="25"/>
      <c r="F21" s="40" t="s">
        <v>107</v>
      </c>
      <c r="G21" s="25">
        <v>20</v>
      </c>
      <c r="H21" s="41" t="s">
        <v>112</v>
      </c>
      <c r="I21" s="25">
        <v>18</v>
      </c>
      <c r="J21" s="25">
        <v>180</v>
      </c>
      <c r="K21" s="26"/>
      <c r="L21" s="25">
        <v>1.6</v>
      </c>
      <c r="M21" s="23" t="s">
        <v>121</v>
      </c>
      <c r="N21" s="23" t="s">
        <v>485</v>
      </c>
      <c r="O21" s="28">
        <v>1968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compare media CN ratio</vt:lpstr>
      <vt:lpstr>compare PreAcclimation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Justus</cp:lastModifiedBy>
  <dcterms:created xsi:type="dcterms:W3CDTF">2022-08-11T07:10:26Z</dcterms:created>
  <dcterms:modified xsi:type="dcterms:W3CDTF">2022-11-12T09:38:23Z</dcterms:modified>
</cp:coreProperties>
</file>