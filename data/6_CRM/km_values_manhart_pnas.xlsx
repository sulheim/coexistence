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norre/Library/CloudStorage/GoogleDrive-ssulheim@gmail.com/My Drive/UNIL/MWF/"/>
    </mc:Choice>
  </mc:AlternateContent>
  <xr:revisionPtr revIDLastSave="0" documentId="13_ncr:1_{590CF870-B2DA-D845-86E4-697B2BF62385}" xr6:coauthVersionLast="47" xr6:coauthVersionMax="47" xr10:uidLastSave="{00000000-0000-0000-0000-000000000000}"/>
  <bookViews>
    <workbookView xWindow="0" yWindow="760" windowWidth="25600" windowHeight="15540" xr2:uid="{00000000-000D-0000-FFFF-FFFF00000000}"/>
  </bookViews>
  <sheets>
    <sheet name="Database" sheetId="1" r:id="rId1"/>
    <sheet name="compare media CN ratio" sheetId="7" r:id="rId2"/>
    <sheet name="compare PreAcclimation"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9" i="1" l="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2" i="1"/>
  <c r="K20" i="6"/>
  <c r="K18" i="6"/>
  <c r="K16" i="6"/>
  <c r="K14" i="6"/>
  <c r="K12" i="6"/>
  <c r="K10" i="6"/>
  <c r="K8" i="6"/>
  <c r="K6" i="6"/>
  <c r="K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N4" authorId="0" shapeId="0" xr:uid="{D24B3823-B66E-A143-BD37-EF6C58F3BDB1}">
      <text>
        <r>
          <rPr>
            <b/>
            <sz val="10"/>
            <color rgb="FF000000"/>
            <rFont val="Tahoma"/>
            <family val="2"/>
          </rPr>
          <t>Microsoft Office User:</t>
        </r>
        <r>
          <rPr>
            <sz val="10"/>
            <color rgb="FF000000"/>
            <rFont val="Tahoma"/>
            <family val="2"/>
          </rPr>
          <t xml:space="preserve">
</t>
        </r>
      </text>
    </comment>
  </commentList>
</comments>
</file>

<file path=xl/sharedStrings.xml><?xml version="1.0" encoding="utf-8"?>
<sst xmlns="http://schemas.openxmlformats.org/spreadsheetml/2006/main" count="1693" uniqueCount="496">
  <si>
    <t>Limiting Nutrient</t>
  </si>
  <si>
    <t>Species</t>
  </si>
  <si>
    <t>Strain</t>
  </si>
  <si>
    <t>Autotroph</t>
  </si>
  <si>
    <t>Eukaryote</t>
  </si>
  <si>
    <t>experiment type</t>
  </si>
  <si>
    <t>experiment temp.</t>
  </si>
  <si>
    <t>media notes</t>
  </si>
  <si>
    <t>K original unit</t>
  </si>
  <si>
    <t>K common unit (uM)</t>
  </si>
  <si>
    <t>K error</t>
  </si>
  <si>
    <t>gmax (per hour)</t>
  </si>
  <si>
    <t>Comment</t>
  </si>
  <si>
    <t>Citation</t>
  </si>
  <si>
    <t>Year of publication</t>
  </si>
  <si>
    <t>merged from Edwards2015 database</t>
  </si>
  <si>
    <t>glucose</t>
  </si>
  <si>
    <t>Escherichia coli</t>
  </si>
  <si>
    <t>K12</t>
  </si>
  <si>
    <t>batch</t>
  </si>
  <si>
    <t>minimal media</t>
  </si>
  <si>
    <t>7160 ug/L</t>
  </si>
  <si>
    <t>OUMI7020</t>
  </si>
  <si>
    <t>8460 ug/L</t>
  </si>
  <si>
    <t>in the original publication the authors provide two values for K, corresponding to 'two different uptake systems'. here we use the lower one.</t>
  </si>
  <si>
    <t>silicate</t>
  </si>
  <si>
    <t>Stephanodiscus minutus</t>
  </si>
  <si>
    <t>semi continuous</t>
  </si>
  <si>
    <t>WC media</t>
  </si>
  <si>
    <t>0.12 uM</t>
  </si>
  <si>
    <t>0.31 uM</t>
  </si>
  <si>
    <t>phosphate</t>
  </si>
  <si>
    <t>Oscillatoria agardhii</t>
  </si>
  <si>
    <t>chemostat</t>
  </si>
  <si>
    <t>Z8' media</t>
  </si>
  <si>
    <t>Temperature range 15-16</t>
  </si>
  <si>
    <t>0.006 uM</t>
  </si>
  <si>
    <t>Temperature range 20-21</t>
  </si>
  <si>
    <t>Temperature range 25-26</t>
  </si>
  <si>
    <t>B/r CM6</t>
  </si>
  <si>
    <t>"L" broth with ommitted glucose</t>
  </si>
  <si>
    <t>540 ug/L</t>
  </si>
  <si>
    <t xml:space="preserve">Bavoil., P., H. Nikaido, and K. von Meyenburg. Pleiotrophic transport mutants of Eschericial coli lack porin, a major membrane protein. Mol. Gen. Genet. 158: 23-33 (1977). </t>
  </si>
  <si>
    <t>ammonium</t>
  </si>
  <si>
    <t>NCM 3722</t>
  </si>
  <si>
    <t>M9 with glucose</t>
  </si>
  <si>
    <t>2.6 uM</t>
  </si>
  <si>
    <t>0.4uM</t>
  </si>
  <si>
    <t>Bren, A., Hart, Y., Dekel, E., Koster, D. &amp; Alon, U. The last generation of bacterial growth in limiting nutrient. BMC Syst. Biol. 7, (2013).</t>
  </si>
  <si>
    <t>M9 with ammonium</t>
  </si>
  <si>
    <t>5 uM</t>
  </si>
  <si>
    <t>1uM</t>
  </si>
  <si>
    <t>maximum growth rate gmax was inferred from Figure 1d and is approximate to ca. 0,1 h^-1</t>
  </si>
  <si>
    <t>Selenastrum capricornutum</t>
  </si>
  <si>
    <t>0.018 uM</t>
  </si>
  <si>
    <t>Brown, E.J &amp; Button, D.K., Phosphate limited growth kinetics of selenastrum capricornutum J. Phycol 1979 305-311 (chlorophyceaea)</t>
  </si>
  <si>
    <t>Torulopsis utilis</t>
  </si>
  <si>
    <t>minimal inorganic media</t>
  </si>
  <si>
    <t>49 uM</t>
  </si>
  <si>
    <t>Button, D. K. &amp; Garver, J. C. Continuous culture of Torulopsis utilis: a kinetic study of oxygen limited growth. J. Gen. Microbiol. 45, 195–204 (1966).</t>
  </si>
  <si>
    <t>ML 30</t>
  </si>
  <si>
    <t>33 ug/L</t>
  </si>
  <si>
    <t>Button, D. K. 1985. Kinetics of nutrient-limited transport and microbial growth. Microbiol. Rev. 49:270–297.</t>
  </si>
  <si>
    <t>thiamine</t>
  </si>
  <si>
    <t>Cryptococcus albidus</t>
  </si>
  <si>
    <t>irradiated minimal media</t>
  </si>
  <si>
    <t>4.7e-13 M</t>
  </si>
  <si>
    <t>Button, D. K. Thiamine limited steady state growth of the yeast Cryptococcus albidus. J. Gen. Microbiol. 58, 15–21 (1969).</t>
  </si>
  <si>
    <t>Rhodotorula rubra</t>
  </si>
  <si>
    <t>0.01 uM</t>
  </si>
  <si>
    <t>Button, D.K., Dunker, S.S., Morse, M.L. Continuous culture of Rhodotorula rubra: Kinetics of phosphate-arsenate uptake, inhibition, and phosphate-limited growth.  J. Bacteriology 1973, 599-611</t>
  </si>
  <si>
    <t>nitrate</t>
  </si>
  <si>
    <t>Isochrysis galbana</t>
  </si>
  <si>
    <t>0.3 uM</t>
  </si>
  <si>
    <t>can't track to original citation</t>
  </si>
  <si>
    <t>Caperon, J. 1968. Population growth response of Isochrysis galbana to nitrate variation at limiting concentrations. Ecology 49:866-872.</t>
  </si>
  <si>
    <t>magnesium</t>
  </si>
  <si>
    <t>Klebsiella aerogenes</t>
  </si>
  <si>
    <t>NCTC 418</t>
  </si>
  <si>
    <t>23 uM</t>
  </si>
  <si>
    <t>﻿Dean, A.C.R. and Rogers, P.L. (1967) The cell size and macromolecular composition of Aerobacter aerogenes in various systems of continuous culture. Biochim. Biophys. Acta 148, 267-279.</t>
  </si>
  <si>
    <t>potassium</t>
  </si>
  <si>
    <t>10 uM</t>
  </si>
  <si>
    <t>sulfate</t>
  </si>
  <si>
    <t>2.8 uM</t>
  </si>
  <si>
    <t>O-124</t>
  </si>
  <si>
    <t>2400 ug/L</t>
  </si>
  <si>
    <t>Degermendzhy, A. G., V. V. Adamovich, and V. A. Adamovich. 1993. A new experimental approach to the search for chemical density factors in the regulation of monoculture growth. J. Gen. Microbiol. 139:2027–2031.</t>
  </si>
  <si>
    <t>vitamin B12</t>
  </si>
  <si>
    <t>Monochrysis lutheri</t>
  </si>
  <si>
    <t>0.0000001 uM</t>
  </si>
  <si>
    <t>Droop, M. R. Some thoughts on nutrient limitation in algae. J. Phycol 9, 264–272 (1974).</t>
  </si>
  <si>
    <t>lactose</t>
  </si>
  <si>
    <t>59 uM</t>
  </si>
  <si>
    <t>﻿Dykhuizen, D. and Davies, M. (1980) An experimental model: bacterial specialists and generalists competing in chemostats. Ecology 61, 1213-1227.</t>
  </si>
  <si>
    <t>59.5 uM</t>
  </si>
  <si>
    <t>34 uM</t>
  </si>
  <si>
    <t>maltose</t>
  </si>
  <si>
    <t>RV lac -</t>
  </si>
  <si>
    <t>25 uM</t>
  </si>
  <si>
    <t>0.4 ug /mL</t>
  </si>
  <si>
    <t>Guthke, R. Growth of Escherichia Coli in Phosphate Limited Cultures: Measurements and Modelling (1979) Biotechnology Letters 1: 377-382</t>
  </si>
  <si>
    <t>glycerol</t>
  </si>
  <si>
    <t>Enterobacter cloacae</t>
  </si>
  <si>
    <t>NCTC 819</t>
  </si>
  <si>
    <t>135 uM</t>
  </si>
  <si>
    <t>Herbert, D., Elsworth, R. &amp; Telling, R. C. The Continuous Culture of Bacteria; a Theoretical and Experimental Study. J. Gen. Microbiol. 14, 601–622 (1956).</t>
  </si>
  <si>
    <t>serial batch</t>
  </si>
  <si>
    <t>8000 ug/L</t>
  </si>
  <si>
    <t>Jannasch notes that this C:N ratio ascertains C growth limitation</t>
  </si>
  <si>
    <t>Jannasch, H. W. 1968. Growth characteristics of heterotrophic bacteria in seawater. J. Bacteriol. 95:722–723.</t>
  </si>
  <si>
    <t xml:space="preserve">Achromobacter sp. </t>
  </si>
  <si>
    <t>supplemented seawater</t>
  </si>
  <si>
    <t>3x10-5 M</t>
  </si>
  <si>
    <t>Jannasch, H. W. Growth characteristics of heterotrophic bacteria in seawater. J. Bacteriol. 95, 722–723 (1968).</t>
  </si>
  <si>
    <t>Vibrio sp.</t>
  </si>
  <si>
    <t>5.5x10-5 M</t>
  </si>
  <si>
    <t>12.5% maximal</t>
  </si>
  <si>
    <t>Pseudomonas sp.</t>
  </si>
  <si>
    <t>10.5 x10-5 M</t>
  </si>
  <si>
    <t>12x10-5 M</t>
  </si>
  <si>
    <t>post acclimation</t>
  </si>
  <si>
    <t>18x10-5  M</t>
  </si>
  <si>
    <t>lactate</t>
  </si>
  <si>
    <t>1x10-5 M</t>
  </si>
  <si>
    <t>0.8 x 10-5 M</t>
  </si>
  <si>
    <t>Spirillum sp.</t>
  </si>
  <si>
    <t>3 x 10-5 M</t>
  </si>
  <si>
    <t>9 x 10-5 M</t>
  </si>
  <si>
    <t>5x10-5 M</t>
  </si>
  <si>
    <t>9.5 x 10-5 M</t>
  </si>
  <si>
    <t>12 x 10-5 M</t>
  </si>
  <si>
    <t>15 x 10-5 M</t>
  </si>
  <si>
    <t>Streptococcus sanguis</t>
  </si>
  <si>
    <t xml:space="preserve"> semi-defined media; contains enzymes</t>
  </si>
  <si>
    <t>111 uM</t>
  </si>
  <si>
    <t>Kemp, C. W., Robrish, S. A., Curtis, M. A., Sharer, S. A. &amp; Bowen, W. H. Application of a competition model to the growth of Streptococcus mutans and Streptococcus sanguis in binary continuous culture. Appl. Environ. Microbiol. 45, 1277–1282 (1983).</t>
  </si>
  <si>
    <t>327 uM</t>
  </si>
  <si>
    <t>Streptococcus mutans</t>
  </si>
  <si>
    <t xml:space="preserve"> 6715-5</t>
  </si>
  <si>
    <t>anaerobic chemostat</t>
  </si>
  <si>
    <t>1583 uM</t>
  </si>
  <si>
    <t>6715-5</t>
  </si>
  <si>
    <t>anerobic batch</t>
  </si>
  <si>
    <t>2172 uM</t>
  </si>
  <si>
    <t>ML 308</t>
  </si>
  <si>
    <t>0.597 uM</t>
  </si>
  <si>
    <t>Koch, A. L., and C. H. Wang. 1982. How close to the theoretical diffusion limit do bacterial uptake systems function. Arch. Microbiol. 131:36–42.</t>
  </si>
  <si>
    <t>13.0 uM</t>
  </si>
  <si>
    <t>34 ug/L</t>
  </si>
  <si>
    <t xml:space="preserve">Kovarová, K., A. J. B. Zehnder, and T. Egli. 1996. Temperature-dependent growth kinetics of Escherichia coli ML 30 in glucose-limited continuous culture. J. Bacteriol. 178:4530–4539. </t>
  </si>
  <si>
    <t>basal medium</t>
  </si>
  <si>
    <t>0.066 uM</t>
  </si>
  <si>
    <t>max growth rate is approximate</t>
  </si>
  <si>
    <t>Kuenen, J. G., Boonstra, J., Schröder, H. G. J. &amp; Veldkamp, H. Competition for inorganic substrates among chemoorganotrophic and chemolithotrophic bacteria. Microb. Ecol. 3, 119–130 (1977).</t>
  </si>
  <si>
    <t>ML 30G</t>
  </si>
  <si>
    <t>4500 uM</t>
  </si>
  <si>
    <t>17.35 uM</t>
  </si>
  <si>
    <t>Synechococcus nageli</t>
  </si>
  <si>
    <t>PAAP media</t>
  </si>
  <si>
    <t>0.008 uM</t>
  </si>
  <si>
    <t>Lang, D. S. &amp; Brown, E. J. Phosphorus-Limited Growth of a Green Alga and a Blue-Green Alga. Appl. Environ. Microbiol. 42, 1002–1009 (1981).</t>
  </si>
  <si>
    <t>Scenedesmus quadracauda</t>
  </si>
  <si>
    <t>0.13 uM</t>
  </si>
  <si>
    <t>Marine coryneform baterium</t>
  </si>
  <si>
    <t>mineral media with 60mg/L ammonium</t>
  </si>
  <si>
    <t>0.48 mg/L</t>
  </si>
  <si>
    <t>Law, A. T. &amp; Button, D. K. Multiple carbon source limited growth kinetics of a marine Coryneform bacterium. J. Bacteriol. 129, 115–123 (1977).</t>
  </si>
  <si>
    <t>fructose</t>
  </si>
  <si>
    <t>defined inorganic media</t>
  </si>
  <si>
    <t>125 ug/L</t>
  </si>
  <si>
    <t>Lendenmann, U. &amp; Egli, T. Kinetic models for the growth of Escherichia coil with mixtures of sugars under carbon-limited conditions. Biotechnol. Bioeng. 59, 99–107 (1998).</t>
  </si>
  <si>
    <t>arabinose</t>
  </si>
  <si>
    <t>sp.</t>
  </si>
  <si>
    <t>147 ug/L</t>
  </si>
  <si>
    <t>Lendenmann, U. Growth kinetics of Escherichia coli with mixtures of sugars (1994). PhD Thesis, ETH Zurich</t>
  </si>
  <si>
    <t>A324</t>
  </si>
  <si>
    <t>defined media with casamino acids</t>
  </si>
  <si>
    <t>2 uM</t>
  </si>
  <si>
    <t>Lusk, J. E., Williams, R. J. &amp; Kennedy, E. P. Magnesium and the growth of Escherichia coli. J. Biol. Chem. 243, 2618–2624 (1968).</t>
  </si>
  <si>
    <t>1.03 uM</t>
  </si>
  <si>
    <t>Mechling, J.A., Kilham, S. S. Temperature effects on silicon limited growth of the lake michigan diatom Stephanodiscus Minutus (Baccilariophyceae). J. Phycol 18, 199–205 (1982).</t>
  </si>
  <si>
    <t>0.88 uM</t>
  </si>
  <si>
    <t>0.68 uM</t>
  </si>
  <si>
    <t>1.24 uM</t>
  </si>
  <si>
    <t>H</t>
  </si>
  <si>
    <t>4000 ug/L</t>
  </si>
  <si>
    <t>Monod, J. Recherches sur la croissance des cultures baceriennes. Herman et Cie, Paris France (1942)</t>
  </si>
  <si>
    <t>tryptophan</t>
  </si>
  <si>
    <t>B/1 trp auxotroph</t>
  </si>
  <si>
    <t>Friedlein medium</t>
  </si>
  <si>
    <t>0.005 uM</t>
  </si>
  <si>
    <t>Novick, A. &amp; Szilard, L. Experiments With the Chemostat on Spontaneous Mutation of Bacteria. Proc. Natl. Acad. Sci 36, 708–719 (1950).</t>
  </si>
  <si>
    <t>TS-701 tryp auxotroph</t>
  </si>
  <si>
    <t>0.034 uM</t>
  </si>
  <si>
    <t>Thalassiosira nordensioreldii</t>
  </si>
  <si>
    <t>enriched seawater</t>
  </si>
  <si>
    <t>0.09 uM</t>
  </si>
  <si>
    <t>Paasche, E. Growth of the plankton diatom Thalassiosira nordenskioeldii Cleve at low silicate concentrations. J. Exp. Mari. Biol 19:173-83 (1975)</t>
  </si>
  <si>
    <t>0.02 uM</t>
  </si>
  <si>
    <t>Saccharomyces cerevisiae</t>
  </si>
  <si>
    <t>EL1</t>
  </si>
  <si>
    <t>Maltose Peptone Yeast Extract Broth</t>
  </si>
  <si>
    <t>2.06 g/L</t>
  </si>
  <si>
    <t xml:space="preserve">K was reported as a range of values with minimum 0.8 ug/L and maximum 5.3 ug/L , depending on the absolute concentration of mannose supplied; see original paper. Here we report the geometric mean value. </t>
  </si>
  <si>
    <t>Papagianni, M., Boonpooh, Y., Mattey, M. &amp; Kristiansen, B. Substrate inhibition kinetics of Saccharomyces cerevisiae in fed-batch cultures operated at constant glucose and maltose concentration levels. J. Ind. Microbiol. Biotechnol. 34, 301–309 (2007).</t>
  </si>
  <si>
    <t>Peptone Yeast Extract Broth</t>
  </si>
  <si>
    <t>0.45 g/L</t>
  </si>
  <si>
    <t>4.73 g/L</t>
  </si>
  <si>
    <t>K was reported as a range of value with minimum 0.8 g/L and maximum 28 g/L, depending on the absolute concentration of mannose supplied; see original paper. Here we report the geometric mean value.</t>
  </si>
  <si>
    <t>arginine</t>
  </si>
  <si>
    <t>Neurospora crassa</t>
  </si>
  <si>
    <t>"arginine auxotroph"</t>
  </si>
  <si>
    <t>radial growth rate</t>
  </si>
  <si>
    <t>Cannot track back to original source</t>
  </si>
  <si>
    <t>Pirt, S.J. (1975) Principles of Microbe and Cell Cultivation. Blackwell, London</t>
  </si>
  <si>
    <t>CBS8066</t>
  </si>
  <si>
    <t>minimal media; low absolute glucose</t>
  </si>
  <si>
    <t>0.11mM</t>
  </si>
  <si>
    <t>dependent on absolute concentration of glucose</t>
  </si>
  <si>
    <t>Postma, E., Alexander Scheffers, W. &amp; Van Dijken, J. P. Kinetics of growth and glucose transport in glucose‐limited chemostat cultures of Saccharomyces cerevisiae CBS 8066. Yeast 5, 159–165 (1989).</t>
  </si>
  <si>
    <t>minimal media; high absolute glucose</t>
  </si>
  <si>
    <t>0.39mM</t>
  </si>
  <si>
    <t>0.012 uM</t>
  </si>
  <si>
    <t>Robertson, B. R. &amp; Button, D. K. Phosphate-limited continuous culture of Rhodotorula rubra: kinetics of transport, leakage and growth. J. Bacteriol. 138, 884–895 (1979).</t>
  </si>
  <si>
    <t>Thalassiosira pseudonana</t>
  </si>
  <si>
    <t>AQUIL Media</t>
  </si>
  <si>
    <t>Paasche, E. Silicon and the ecology of marine plankton diatoms. I. Thalassiosira pseudonana (Cyclotella nana) grown in a chemostat with silicate as limiting nutrient. Mar. Biol. 19, 117–126 (1973).</t>
  </si>
  <si>
    <t>87300 ug/L</t>
  </si>
  <si>
    <t>K was reported as a range of values dependent on conditions with minimum 77000 ug/L and maximum 99000 ug/L; see original paper. Here we report the geometric mean value.</t>
  </si>
  <si>
    <t xml:space="preserve">Schulze, K. L., and R. S. Lipe. 1964. Relationship between substrate con- centration, growth rate, and respiration rate of Escherichia coli in continuous culture. Arch. Microbiol. 48:1–20. </t>
  </si>
  <si>
    <t>53 ug/L</t>
  </si>
  <si>
    <t>Senn, H., U. Lendenmann, M. Snozzi, G. Hamer, and T. Egli. 1994. The growth of Escherichia coli in glucose-limited chemostat cultures: a reexamination of the kinetics. Biochim. Biophys. Acta 1201:424–436.</t>
  </si>
  <si>
    <t>72 ug/L</t>
  </si>
  <si>
    <t>60 uM</t>
  </si>
  <si>
    <t>Shehata, T. E. &amp; Marr, A. G. Effect of nutrient concentration on the growth of Escherichia coli. J. Bacteriol. 107, 210–216 (1971).</t>
  </si>
  <si>
    <t>68 ug/L</t>
  </si>
  <si>
    <t>Shehata, T. E., and A. G. Marr. 1971. Effect of nutrient concentration on the growth of Escherichia coli. J. Bacteriol. 107:210–216.</t>
  </si>
  <si>
    <t>Candida utilis</t>
  </si>
  <si>
    <t>NCYC 321</t>
  </si>
  <si>
    <t>50 uM</t>
  </si>
  <si>
    <t>﻿Sinclair, C.G. and Ryder, D.N. (1975) Models for the ﻿continuous culture of microorganisms under both oxygen and carbon limiting conditions. Biotech. Bioeng. 17, 375-398.</t>
  </si>
  <si>
    <t>oxygen</t>
  </si>
  <si>
    <t>VIN13</t>
  </si>
  <si>
    <t>minimal media (Verduyn)</t>
  </si>
  <si>
    <t>0.12mM</t>
  </si>
  <si>
    <t>0.009 (SEM)</t>
  </si>
  <si>
    <t>Snoep, J. L., Mrwebi, M., Schuurmans, J. M., Rohwer, J. M. &amp; Teixeira de Mattor, M. J. T. Control of specific growth rate in Saccharomyces cerevisiae. Microbiology 155, 1699–1707 (2009).</t>
  </si>
  <si>
    <t>Corethron criophilum</t>
  </si>
  <si>
    <t>spp.</t>
  </si>
  <si>
    <t>batch conducted in field</t>
  </si>
  <si>
    <t>oligotrophic seawater</t>
  </si>
  <si>
    <t>Sommer, U. 1986. “Nitrate- and Silicate-Competition among Antarctic Phytoplankton.” Marine Biology 91 (3): 345–51.</t>
  </si>
  <si>
    <t>Nitszchia kerguelensis</t>
  </si>
  <si>
    <t>0.8 uM</t>
  </si>
  <si>
    <t>Thalassiosira subtilis</t>
  </si>
  <si>
    <t>0.9 uM</t>
  </si>
  <si>
    <t>Chaetoceros neglectum</t>
  </si>
  <si>
    <t>1.4 uM</t>
  </si>
  <si>
    <t>Nitzchia cylindrus</t>
  </si>
  <si>
    <t>4.2 uM</t>
  </si>
  <si>
    <t>60.1 uM</t>
  </si>
  <si>
    <t>88.7 uM</t>
  </si>
  <si>
    <t>5.7 uM</t>
  </si>
  <si>
    <t>21.7 uM</t>
  </si>
  <si>
    <t>8.4 uM</t>
  </si>
  <si>
    <t>continuous culture</t>
  </si>
  <si>
    <t>120 nM</t>
  </si>
  <si>
    <t>nanomolar oxygen measurements</t>
  </si>
  <si>
    <t>Stolper, D. A., Revsbech, N. P., &amp; Canfield, D. E. (2010). Aerobic growth at nanomolar oxygen concentrations. Proceedings of the National Academy of Sciences of the United States of America, 107(44), 18755–18760. https://doi.org/10.1073/PNAS.1013435107/SUPPL_FILE/PNAS.1013435107_SI.PDF</t>
  </si>
  <si>
    <t>Dunaliella sp.</t>
  </si>
  <si>
    <t>enriched 75% seawater</t>
  </si>
  <si>
    <t>0.28 uM</t>
  </si>
  <si>
    <t>Thomas, W. H. &amp; Dodson, A. N. Effect of interactions between temperature and nitrate supply on the cell-division rates of two marine phytoflagellates. Mar. Biol. 24, 213–217 (1974).</t>
  </si>
  <si>
    <t>0.95 uM</t>
  </si>
  <si>
    <t>Gymnodinium splendens</t>
  </si>
  <si>
    <t>1.02 uM</t>
  </si>
  <si>
    <t>6.55 uM</t>
  </si>
  <si>
    <t>Fragilaria</t>
  </si>
  <si>
    <t>freshwater minimal medium</t>
  </si>
  <si>
    <t>1.5uM</t>
  </si>
  <si>
    <t>Tilman, D. Tests of Resource Competition Theory Using Four Species of Lake Michigan Algae. Ecology 62, 802–815 (1981).</t>
  </si>
  <si>
    <t>Asterionella formosa</t>
  </si>
  <si>
    <t>2.2uM</t>
  </si>
  <si>
    <t>Synedra ulna</t>
  </si>
  <si>
    <t>19.7uM</t>
  </si>
  <si>
    <t>Tabellaria</t>
  </si>
  <si>
    <t>19.0uM</t>
  </si>
  <si>
    <t>0.011 uM</t>
  </si>
  <si>
    <t>0.003 uM</t>
  </si>
  <si>
    <t>defined inorganic media with vitamins</t>
  </si>
  <si>
    <t>2.2 uM</t>
  </si>
  <si>
    <t>Tilman, D., Mattson, M., and Langer, S. Competition and nutrient kinetics along a temperature gradient: An experimental test of a mechanistic approach to niche theory. Limnol. Oceanogr. 26(6), 1981: 1020-1033</t>
  </si>
  <si>
    <t>1.9 uM</t>
  </si>
  <si>
    <t>2.1 uM</t>
  </si>
  <si>
    <t>4 uM</t>
  </si>
  <si>
    <t>11 uM</t>
  </si>
  <si>
    <t>4.5 um</t>
  </si>
  <si>
    <t>6.11 uM</t>
  </si>
  <si>
    <t>4.9 uM</t>
  </si>
  <si>
    <t>LTEE ancestor</t>
  </si>
  <si>
    <t>0.0727 mg/L</t>
  </si>
  <si>
    <t>ancestral wild-type of the Long Term Evolution Experiment, reported with biomass yield of Y = 2,635*10^6 cfu/ug</t>
  </si>
  <si>
    <t>Vasi, F., Travisano, M. &amp; Lenski, R.E. , Long-Term Experimental Evolution in Escherichia Coli. II. Changes in Life-History Traits During Adaptation to a Seasonal Environment,” Am Nat 144, no. 3: 432–56 (1994)</t>
  </si>
  <si>
    <t>LTEE evolved</t>
  </si>
  <si>
    <t>0.0880 mg/L</t>
  </si>
  <si>
    <t>average of evolved strains from the 12 lines  of the Long Term Evolution Experiment after 2000 generations, reported with biomass yield of Y = 1,838*10^6 cfu/ug</t>
  </si>
  <si>
    <t>B/r Thy-</t>
  </si>
  <si>
    <t>180 ug/L</t>
  </si>
  <si>
    <t xml:space="preserve">von Meyenburg, K. 1971. Transport-limited growth rates in a mutant of Escherichia coli. J. Bacteriol. 107:878–888. </t>
  </si>
  <si>
    <t>1.2 uM</t>
  </si>
  <si>
    <t>Zevenboom, W., Mur, L. R. &amp; Ku, S. Influence of growth rate on short term and steady state nitrate uptake by nitrate - limited  oscilatoria agardhii Cyano-. 6, 209–212 (1979).</t>
  </si>
  <si>
    <t>FY4/5</t>
  </si>
  <si>
    <t>batch solid culture</t>
  </si>
  <si>
    <t>0.202 mM</t>
  </si>
  <si>
    <t>tried many growth rate models; here reporting only for the normal Monod model</t>
  </si>
  <si>
    <t>Ziv, N., Siegal, M. L. &amp; Gresham, D. Genetic and nongenetic determinants of cell growth variation assessed by high-throughput microscopy. Mol. Biol. Evol. 30, 2568–2578 (2013).</t>
  </si>
  <si>
    <t>BC248</t>
  </si>
  <si>
    <t>0.115 mM</t>
  </si>
  <si>
    <t>BC241</t>
  </si>
  <si>
    <t>0.189 mm</t>
  </si>
  <si>
    <t>BC252</t>
  </si>
  <si>
    <t>0.143 mM</t>
  </si>
  <si>
    <t>strain 211</t>
  </si>
  <si>
    <t>minimal medium</t>
  </si>
  <si>
    <t>0.146 g/L</t>
  </si>
  <si>
    <t>O’Neil GDG, Lyberatos G Dynamic model development for a continuous culture of Saccharomyces cerevisiae. Biotechnol Bioeng 36:437–445 (1990)</t>
  </si>
  <si>
    <t>0.099 g/L</t>
  </si>
  <si>
    <t>Verduyn C, Postma E, Scheffers WA, van Dijken JP Physiology of Saccharomyces cerevisiae in anaerobic glucoselimited chemostat cultures.  J Gen Microbiol 136:395–403 (1990)</t>
  </si>
  <si>
    <t>Saccharomyces carlsbergensis</t>
  </si>
  <si>
    <t>LAM 1068</t>
  </si>
  <si>
    <t>0.021 g/L</t>
  </si>
  <si>
    <t>Toda K, Yabe I, Yamagata T Kinetics of biphasic growth of yeast in continuous and fed-batch cultures. Biotechnol Bioeng 22:1805–1827 (1980)</t>
  </si>
  <si>
    <t>Cochlodinium polykrikoides</t>
  </si>
  <si>
    <t>Gobler, C. J., A. Burson, F. Koch, Y. Z. Tang, and M. R. Mulholland. 2012. The role of nitrogenous nutrients in the occurrence of harmful algal blooms caused by Cochlodinium polykrikoides in New York estuaries (USA). Harmful Algae 17:64-74.</t>
  </si>
  <si>
    <t>Alexandrium catenella</t>
  </si>
  <si>
    <t>Martinez, M. E., J. M. Jimenez, and F. El Yousfi. 1999. Influence of phosphorus concentration and temperature on growth and phosphorus uptake by the microalga Scenedesmus obliquus. Bioresource Technology 67:233-240.</t>
  </si>
  <si>
    <t>Chaetoceros curvisetum</t>
  </si>
  <si>
    <t>Reay, D. S., D. B. Nedwell, J. Priddle, and J. C. Ellis-Evans. 1999. Temperature dependence of inorganic nitrogen uptake: Reduced affinity for nitrate at suboptimal temperatures in both algae and bacteria. Applied and Environmental Microbiology 65:2577-2584.</t>
  </si>
  <si>
    <t>Chaetoceros sp.</t>
  </si>
  <si>
    <t>CCAP 1010/10</t>
  </si>
  <si>
    <t>Dunaliella tertiolecta</t>
  </si>
  <si>
    <t>CCAP 19/6B</t>
  </si>
  <si>
    <t>Reynolds, J. H., E. J. Middlebrooks, D. B. Porcella, and W. J. Grenney. 1975. Effects of temperature on growth constans of Selenastrum capricornutum. Journal Water Pollution Control Federation 47:2420-2436.</t>
  </si>
  <si>
    <t>Nielsen, E. S. 1978. Growth of plankton algae as a function of N-concentration, measured by means of a batch technique. Marine Biology 46:185-189.</t>
  </si>
  <si>
    <t>Pelagomonas calceolata</t>
  </si>
  <si>
    <t>CCMP 1756</t>
  </si>
  <si>
    <t>Timmermans, K. R., B. van der Wagt, M. J. W. Veldhuis, A. Maatman, and H. J. W. de Baar. 2005. Physiological responses of three species of marine pico-phytoplankton to ammonium, phosphate, iron and light limitation. Journal of Sea Research 53:109-120.</t>
  </si>
  <si>
    <t>Prasinomonas capsulatus</t>
  </si>
  <si>
    <t>CCMP 1617</t>
  </si>
  <si>
    <t>Synechococcus sp.</t>
  </si>
  <si>
    <t>CCMP 893</t>
  </si>
  <si>
    <t>Planktothrix agardhii</t>
  </si>
  <si>
    <t>Ahlgren, G. 1977. Growth of Oscillatoria agardhii in chemostat culture. 1. Nitrogen and phosphorus requirements. Oikos 29:209-224.</t>
  </si>
  <si>
    <t xml:space="preserve">Ahlgren, G. 1978. Growth of Oscillatoria agardhii in chemostat culture. 2. Dependence of growth constants on temperature. Mitt. Internat. Verein. Limnol. 21:88-102. </t>
  </si>
  <si>
    <t>Scenedesmus quadricauda</t>
  </si>
  <si>
    <t>Ahlgren, G. 1987. Temperature functions in biology and their application to algal growth constant. Oikos 49:177-190.</t>
  </si>
  <si>
    <t>Prymnesium parvum</t>
  </si>
  <si>
    <t>UTEX LL 2797</t>
  </si>
  <si>
    <t>Baker, J. W., J. P. Grover, R. Ramachandrannair, C. Black, T. W. Valenti, B. W. Brooks, D. L. Roelke. 2009. Growth at the edge of the niche: An experimental study of the harmful alga Prymnesium parvum. Limnol. Oceanogr. 54:1679-1687.</t>
  </si>
  <si>
    <t>Microcystis aeruginosa</t>
  </si>
  <si>
    <t>Baldia, S. F., A. D. Evangelista, E. V. Aralar, and A. E. Santiago. 2007. Nitrogen and phosphorus utilization in the cyanobacterium Microcystis aeruginosa isolated from Laguna de Bay, Philippines. Journal of Applied Phycology 19:607-613.</t>
  </si>
  <si>
    <t>Anabaena flos-aquae</t>
  </si>
  <si>
    <t>Elder, R. G. and M. Parker. 1984. Growth response of a nitrogen fixer (Anabaena flos-aquae, Cyanophyceae) to low nitrate. Journal of Phycology 20:296-301.</t>
  </si>
  <si>
    <t>Trichodesmium erythraeum</t>
  </si>
  <si>
    <t>IMS101</t>
  </si>
  <si>
    <t>Fu, F. X., Y. H. Zhang, P. R. F. Bell, and D. A. Hutchins. 2005. Phosphate uptake and growth kinetics of Trichodesmium (Cyanobacteria) isolates from the North Atlantic Ocean and the Great Barrier Reef, Australia. Journal of Phycology 41:62-73.</t>
  </si>
  <si>
    <t>GBRTRLI101</t>
  </si>
  <si>
    <t>Pavlova lutheri</t>
  </si>
  <si>
    <t>CCMP 1325</t>
  </si>
  <si>
    <t>species alternatively known as Monochrysis lutheri</t>
  </si>
  <si>
    <t>Goldman, J. C. 1977. Steady-state growth of phytoplankton in continuous culture: comparison of internal and external nutrient equations. Journal of Phycology 13:251-258.</t>
  </si>
  <si>
    <t>Chlamydomonas sp.</t>
  </si>
  <si>
    <t>Grover, J. P. 1989. Phorphorus-dependent growth kinetics of 11 species of freshwater algae. Limnology and Oceanography 34:341-348.</t>
  </si>
  <si>
    <t>Chlorella vulgaris</t>
  </si>
  <si>
    <t>Cryptomonas sp.</t>
  </si>
  <si>
    <t>Nitzschia acicularis</t>
  </si>
  <si>
    <t>Nitzschia linearis</t>
  </si>
  <si>
    <t>Nitzschia palea</t>
  </si>
  <si>
    <t>Oocystis pusilla</t>
  </si>
  <si>
    <t>Sphaerocystis schroeteri</t>
  </si>
  <si>
    <t>Synedra radians</t>
  </si>
  <si>
    <t>Synedra rumpens</t>
  </si>
  <si>
    <t>Holm, N. P. and D. E. Armstrong. 1981. Role of nutrient limitation and competition in controlling the populations of Asterionella formosa and Microcystis aeruginosa in semicontinuous culture. Limnology and Oceanography 26:622-634.</t>
  </si>
  <si>
    <t>Diatoma elongatum</t>
  </si>
  <si>
    <t>Kilham, S. S., C. L. Kott, and D. Tilman. 1977. Phosphate and silicate kinetics for the Lake Michigan diatom Diatom elongatum. Journal of Great Lakes Research 3.</t>
  </si>
  <si>
    <t>Anabaena oscillarioides</t>
  </si>
  <si>
    <t>Lam, C. W. Y. 1979. Phosphate requirement of Anabaena oscillarioides and its ecological implications. Hydrobiologia 67:89-96.</t>
  </si>
  <si>
    <t>Laws, E. A., S. F. Pei, P. Bienfang, S. Grant, and W. G. Sunda. 2011. Phosphate-limited growth of Pavlova lutheri (Prymnesiophyceae) in continuous culture: determination of growth-rate-limiting substrate concentrations with a sensitive bioassay procedure. Journal of Phycology 47:1089-1097.</t>
  </si>
  <si>
    <t>Nitzschia closterium</t>
  </si>
  <si>
    <t>Li, T., L. Hu, and Z. Shi. 2000. Effects of nutrients on the growth and the composition of nitrogen and phosphorus of Skeletonema costatum and Nitzschia closterium. Oceanologia et limnologia sinica 31:52-58.</t>
  </si>
  <si>
    <t>Skeletonema costatum</t>
  </si>
  <si>
    <t>Scenedesmus obliquus</t>
  </si>
  <si>
    <t>SAG 276-3a</t>
  </si>
  <si>
    <t>Eucampia zodiacus</t>
  </si>
  <si>
    <t>Nishikawa, T. and Y. Hori. 2004. Effects of nitrogen, phosphorus and silicon on the growth of the diatom Eucampia zodiacus caused bleaching of seaweed w isolated from Harima-Nada, Seto Inland Sea, Japan. Nippon Suisan Gakkaishi 70:31-38.</t>
  </si>
  <si>
    <t>Coscinodiscus wailesii</t>
  </si>
  <si>
    <t>Nishikawa, T. and Y. Hori. 2004. Effects of nitrogen, phosphorus and silicon on a growth of a diatom Coscinodiscus wailesii causing Porphyra bleaching isolated from Harima-Nada, Seto Inland Sea, Japan. Nippon Suisan Gakkaishi 70:872-878.</t>
  </si>
  <si>
    <t>Chlorella emersonii</t>
  </si>
  <si>
    <t>CCAP 211/8H</t>
  </si>
  <si>
    <t>species alternatively known as Chlorella pyrenoidosa</t>
  </si>
  <si>
    <t>Nyholm, N. 1977. Kinetics of phosphate limited algal growth. Biotechnology and Bioengineering 19:467-492.</t>
  </si>
  <si>
    <t>Emiliania huxleyi</t>
  </si>
  <si>
    <t>NIOZ strain L</t>
  </si>
  <si>
    <t>Riegman, R., W. Stolte, A. A. M. Noordeloos, and D. Slezak. 2000. Nutrient uptake, and alkaline phosphate (EC 3 : 1 : 3 : 1) activity of Emiliania huxleyi (Prymnesiophyceae) during growth under N and P limitation in continuous cultures. Journal of Phycology 36:87-96.</t>
  </si>
  <si>
    <t>Pyrocystis noctiluca</t>
  </si>
  <si>
    <t>Rivkin, R. B. and E. Swift. 1985. Phosphorus metabolism of oceanic dinoflagellates: phosphate uptake, chemical composition and growth of Pyrocystis noctiluca. Marine Biology 88:189-198.</t>
  </si>
  <si>
    <t>Volvox aureus</t>
  </si>
  <si>
    <t>Senft, W. H., R. A. Hunchberger, and K. E. Roberts. 1981. Temperture-dependence of growth and phosphorus uptake in two species of Volvox (Volvolcales, Chlorophyta). Journal of Phycology 17:323-329.</t>
  </si>
  <si>
    <t>Volvox globator</t>
  </si>
  <si>
    <t>UTEX LB955</t>
  </si>
  <si>
    <t>Chlamydomonas acidophila</t>
  </si>
  <si>
    <t>SAG 2045</t>
  </si>
  <si>
    <t>Spijkerman, E. 2007. Phosphorus acquisition by Chlamydomonas acidophila under autotrophic and osmo-mixotrophic growth conditions. Journal of Experimental Botany 58:4195-4202.</t>
  </si>
  <si>
    <t>Tilman, D. and S. S. Kilham. 1976. Phosphate and silicate growth and uptake kinetics of the diatoms Asterionella formosa and Cyclotella meneghiniana in batch and semi-continuous culture. Journal of Phycology 12:375-383.</t>
  </si>
  <si>
    <t>Cyclotella meneghiniana</t>
  </si>
  <si>
    <t>Van Donk, E. and S. S. Kilham. 1990. Temperature effects on silicon-limited and phosphorus-limited growth and competitive interactions among 3 diatoms. Journal of Phycology 26:40-50.</t>
  </si>
  <si>
    <t>Fragilaria crotonensis</t>
  </si>
  <si>
    <t>Stephanodiscus hantzschii</t>
  </si>
  <si>
    <t>Karenia brevis</t>
  </si>
  <si>
    <t>species alternatively known as Gymnodinium breve</t>
  </si>
  <si>
    <t xml:space="preserve">Vargo, G. A. and D. Howard-Shamblott. 1990. Phosphorus dynamics in Ptychodiscus brevis: cell phosphorus, uptake and growth requirements. pp. 324-329 in Toxic Marine Phytoplankton vol. 4, eds. A. Gran´li, B. Sundstr_m, and L. Edler. </t>
  </si>
  <si>
    <t>Asterionella glacialis</t>
  </si>
  <si>
    <t>Eppley, R. W. and W. H. Thomas. Comparison of half-saturation constants for growth and nitrate uptake of marine phytoplankton. Journal of Phycology 5:375-379.</t>
  </si>
  <si>
    <t>Chaetoceros gracilis</t>
  </si>
  <si>
    <t>Thalassiosira weissflogii</t>
  </si>
  <si>
    <t>species alternatively known as Thalassiosira fluviatilis</t>
  </si>
  <si>
    <t>Li, W. K. W. 1978. Kinetic analysis of interactive effects of cadmium and nitrate on growth of Thalassiosira fluviatilis (Bacillariophyceae). Journal of Phycology 14:454-460.</t>
  </si>
  <si>
    <t>Shafik, H. M., S. Herodek, M. Presing, L. Voros, and K. V. Balogh. 1997. Growth of Cyclotella meneghiniana Kutz. II. Growth and cell composition under different growth rates with different limiting nutrient. Annales De Limnologie-International Journal of Limnology 33:223-233.</t>
  </si>
  <si>
    <t>species alternatively known as Oscillatoria agardhii</t>
  </si>
  <si>
    <t>Zevenboom, W., G. J. Degroot, and L. R. Mur. 1980. Effects of light on nitrate-limited Oscillatoria agardhii in chemostat cultures. Archives of Microbiology 125:59-65.</t>
  </si>
  <si>
    <t>Key (data reported as in original study)</t>
  </si>
  <si>
    <t>Species: Genus and species of organism. If "sp," this indicates that the organism was not classified in detail. Typically these are also reported using a strain identifier.</t>
  </si>
  <si>
    <t>Strain: Sub strain identifier for the organism (if available) - as reported in the original study</t>
  </si>
  <si>
    <t>Citation: original study</t>
  </si>
  <si>
    <r>
      <rPr>
        <u/>
        <sz val="12"/>
        <color theme="1"/>
        <rFont val="Calibri"/>
        <family val="2"/>
        <scheme val="minor"/>
      </rPr>
      <t>Limiting nutrient:</t>
    </r>
    <r>
      <rPr>
        <sz val="12"/>
        <color theme="1"/>
        <rFont val="Calibri"/>
        <family val="2"/>
        <scheme val="minor"/>
      </rPr>
      <t xml:space="preserve"> Nutrient considered in original experiment</t>
    </r>
  </si>
  <si>
    <r>
      <rPr>
        <u/>
        <sz val="12"/>
        <color theme="1"/>
        <rFont val="Calibri"/>
        <family val="2"/>
        <scheme val="minor"/>
      </rPr>
      <t xml:space="preserve">Autotroph: </t>
    </r>
    <r>
      <rPr>
        <sz val="12"/>
        <color theme="1"/>
        <rFont val="Calibri"/>
        <family val="2"/>
        <scheme val="minor"/>
      </rPr>
      <t>If TRUE, denotes an autotroph</t>
    </r>
  </si>
  <si>
    <r>
      <rPr>
        <u/>
        <sz val="12"/>
        <color theme="1"/>
        <rFont val="Calibri"/>
        <family val="2"/>
        <scheme val="minor"/>
      </rPr>
      <t>Eukaryote:</t>
    </r>
    <r>
      <rPr>
        <sz val="12"/>
        <color theme="1"/>
        <rFont val="Calibri"/>
        <family val="2"/>
        <scheme val="minor"/>
      </rPr>
      <t xml:space="preserve"> If TRUE, denotes a eukaryote (all others are prokaryotes)</t>
    </r>
  </si>
  <si>
    <r>
      <rPr>
        <u/>
        <sz val="12"/>
        <color theme="1"/>
        <rFont val="Calibri"/>
        <family val="2"/>
        <scheme val="minor"/>
      </rPr>
      <t>Experiment type:</t>
    </r>
    <r>
      <rPr>
        <sz val="12"/>
        <color theme="1"/>
        <rFont val="Calibri"/>
        <family val="2"/>
        <scheme val="minor"/>
      </rPr>
      <t xml:space="preserve"> experiment growth type (batch culture, chemostat, semi-continuous) and other details about experimental design. Here, semi-continuous refers to a serial transfer batch culture design</t>
    </r>
  </si>
  <si>
    <r>
      <rPr>
        <u/>
        <sz val="12"/>
        <color theme="1"/>
        <rFont val="Calibri"/>
        <family val="2"/>
        <scheme val="minor"/>
      </rPr>
      <t xml:space="preserve">Experiment temp: </t>
    </r>
    <r>
      <rPr>
        <sz val="12"/>
        <color theme="1"/>
        <rFont val="Calibri"/>
        <family val="2"/>
        <scheme val="minor"/>
      </rPr>
      <t>constant temperature for growth, as reported in original study</t>
    </r>
  </si>
  <si>
    <r>
      <rPr>
        <u/>
        <sz val="12"/>
        <color theme="1"/>
        <rFont val="Calibri"/>
        <family val="2"/>
        <scheme val="minor"/>
      </rPr>
      <t>Media notes:</t>
    </r>
    <r>
      <rPr>
        <sz val="12"/>
        <color theme="1"/>
        <rFont val="Calibri"/>
        <family val="2"/>
        <scheme val="minor"/>
      </rPr>
      <t xml:space="preserve"> Experiment media, reported as named/standardized medias if possible and otherwise classified by us based on chemical composition</t>
    </r>
  </si>
  <si>
    <r>
      <rPr>
        <u/>
        <sz val="12"/>
        <color theme="1"/>
        <rFont val="Calibri"/>
        <family val="2"/>
        <scheme val="minor"/>
      </rPr>
      <t xml:space="preserve">K common unit (uM): </t>
    </r>
    <r>
      <rPr>
        <sz val="12"/>
        <color theme="1"/>
        <rFont val="Calibri"/>
        <family val="2"/>
        <scheme val="minor"/>
      </rPr>
      <t>K value converted by us to unit of uM. If a range was reported in the study, the average was used. we have rounded the trait value to the  number of significant digits used in the source publication, with typically two significant digits. where only one significant digit is shown, the second significant digit is zero and truncated by the Microsoft Excel software.</t>
    </r>
  </si>
  <si>
    <r>
      <rPr>
        <u/>
        <sz val="12"/>
        <color theme="1"/>
        <rFont val="Calibri"/>
        <family val="2"/>
        <scheme val="minor"/>
      </rPr>
      <t>Minimum K:</t>
    </r>
    <r>
      <rPr>
        <sz val="12"/>
        <color theme="1"/>
        <rFont val="Calibri"/>
        <family val="2"/>
        <scheme val="minor"/>
      </rPr>
      <t xml:space="preserve"> If K reported as a range in the original study, the minimum value in the original units</t>
    </r>
  </si>
  <si>
    <r>
      <rPr>
        <u/>
        <sz val="12"/>
        <color theme="1"/>
        <rFont val="Calibri"/>
        <family val="2"/>
        <scheme val="minor"/>
      </rPr>
      <t>Maximum K:</t>
    </r>
    <r>
      <rPr>
        <sz val="12"/>
        <color theme="1"/>
        <rFont val="Calibri"/>
        <family val="2"/>
        <scheme val="minor"/>
      </rPr>
      <t xml:space="preserve"> If K reported as a range in the original study, the maximum value in the original units</t>
    </r>
  </si>
  <si>
    <r>
      <rPr>
        <u/>
        <sz val="12"/>
        <color theme="1"/>
        <rFont val="Calibri"/>
        <family val="2"/>
        <scheme val="minor"/>
      </rPr>
      <t>K error:</t>
    </r>
    <r>
      <rPr>
        <sz val="12"/>
        <color theme="1"/>
        <rFont val="Calibri"/>
        <family val="2"/>
        <scheme val="minor"/>
      </rPr>
      <t xml:space="preserve"> Estimated error in the K value, if reported in the original study and converted by us into units of uM. These are standard deviations of replicate measurements unless otherwise indicated.</t>
    </r>
  </si>
  <si>
    <r>
      <rPr>
        <u/>
        <sz val="12"/>
        <color theme="1"/>
        <rFont val="Calibri"/>
        <family val="2"/>
        <scheme val="minor"/>
      </rPr>
      <t xml:space="preserve">gmax: </t>
    </r>
    <r>
      <rPr>
        <sz val="12"/>
        <color theme="1"/>
        <rFont val="Calibri"/>
        <family val="2"/>
        <scheme val="minor"/>
      </rPr>
      <t xml:space="preserve"> maximum growth rate from the original study. not all studies report this parameter. we have converted all values to the same unit [per hour]. we have rounded the trait value to the  number of significant digits used in the source publication, with typically two significant digits. where only one significant digit is shown, the second significant digit is zero and truncated by the Microsoft Excel software.</t>
    </r>
  </si>
  <si>
    <r>
      <rPr>
        <u/>
        <sz val="12"/>
        <color theme="1"/>
        <rFont val="Calibri"/>
        <family val="2"/>
        <scheme val="minor"/>
      </rPr>
      <t>Comment:</t>
    </r>
    <r>
      <rPr>
        <sz val="12"/>
        <color theme="1"/>
        <rFont val="Calibri"/>
        <family val="2"/>
        <scheme val="minor"/>
      </rPr>
      <t xml:space="preserve"> relevant experiment details</t>
    </r>
  </si>
  <si>
    <r>
      <t>merged from Edwards2015 database:</t>
    </r>
    <r>
      <rPr>
        <sz val="12"/>
        <color theme="1"/>
        <rFont val="Calibri (Body)"/>
      </rPr>
      <t xml:space="preserve"> if TRUE, then this entry has been included from the published database Edwards et al. Ecology 2015 . http://dx.doi.org/10.1890/14-2252.1</t>
    </r>
  </si>
  <si>
    <t xml:space="preserve">Entries here are copied from the sheet 'Database'. </t>
  </si>
  <si>
    <t>Calculating the elemental C:N ratio in growth media for subset of measurments with E. coli on glucose</t>
  </si>
  <si>
    <t>[N] concentration in media</t>
  </si>
  <si>
    <t>3 mM</t>
  </si>
  <si>
    <t>1.98-72</t>
  </si>
  <si>
    <t>0.16-18.7 mM</t>
  </si>
  <si>
    <t>3.48-412.5</t>
  </si>
  <si>
    <r>
      <t xml:space="preserve">Bren, A., Hart, Y., Dekel, E., Koster, D. &amp; Alon, U. The last generation of bacterial growth in limiting nutrient. </t>
    </r>
    <r>
      <rPr>
        <i/>
        <sz val="12"/>
        <color theme="1"/>
        <rFont val="Calibri"/>
        <family val="2"/>
        <scheme val="minor"/>
      </rPr>
      <t>BMC Syst. Biol.</t>
    </r>
    <r>
      <rPr>
        <sz val="11"/>
        <color theme="1"/>
        <rFont val="Calibri"/>
        <family val="2"/>
        <scheme val="minor"/>
      </rPr>
      <t xml:space="preserve"> </t>
    </r>
    <r>
      <rPr>
        <b/>
        <sz val="12"/>
        <color theme="1"/>
        <rFont val="Calibri"/>
        <family val="2"/>
        <scheme val="minor"/>
      </rPr>
      <t>7</t>
    </r>
    <r>
      <rPr>
        <sz val="11"/>
        <color theme="1"/>
        <rFont val="Calibri"/>
        <family val="2"/>
        <scheme val="minor"/>
      </rPr>
      <t>, (2013).</t>
    </r>
  </si>
  <si>
    <t>15 mM</t>
  </si>
  <si>
    <t>0.18 average</t>
  </si>
  <si>
    <t>16.65 mM (as urea)</t>
  </si>
  <si>
    <t>88000 ug/L</t>
  </si>
  <si>
    <t>K was reported as a range of values dependent on conditions with minimum 77000 ug/L and maximum 99000 ug/L; see original paper. Here we report the mean value.</t>
  </si>
  <si>
    <t>22.2e-6 - 58.2e-3</t>
  </si>
  <si>
    <t>14.28 mM</t>
  </si>
  <si>
    <t>18e-5 - 6e-3</t>
  </si>
  <si>
    <t>12.4 mM</t>
  </si>
  <si>
    <t>0.66-2.22</t>
  </si>
  <si>
    <t>1 ug/uL</t>
  </si>
  <si>
    <t>Gse medium</t>
  </si>
  <si>
    <t>f/2 media</t>
  </si>
  <si>
    <t>Osterlind B media</t>
  </si>
  <si>
    <t>dilute batch</t>
  </si>
  <si>
    <t>filtered oligotrophic seawater</t>
  </si>
  <si>
    <t>YBCII media</t>
  </si>
  <si>
    <t>WC medium</t>
  </si>
  <si>
    <t>filtered river water</t>
  </si>
  <si>
    <t>artificial seawater</t>
  </si>
  <si>
    <t>Mechling, J. A., and S. S. Kilham. 1982. Temperature effects on silicon limited growth of the Lake Michigan diatom Stephanodiscus Minutus J Phycol
on silicon limited growth of the Lake Michigan diatonm
Stephanodiscus minutus (Bacillariophyceae). J. Phycol.
18:199-205.</t>
  </si>
  <si>
    <t>Ishida, Y., I. Imai, T. Miyagaki, and H. Kadota. 1982. Growth and uptake kinetics of a facultatively oligotrophic bacterium at low nutrient concentrations. Microb. Ecol. 8:23–32.</t>
  </si>
  <si>
    <t>Dykhuizen, D. 1978. Selection for tryptophan auxotrophs of Escherichia coli in glucose-limited chemostats as a test of the energy conservation hypothesis of evolution. Evolution 35:125–150.</t>
  </si>
  <si>
    <t>range of C:N ratios covered in  measurements</t>
  </si>
  <si>
    <t>C:N ratio at the lowest glucose concentration measured</t>
  </si>
  <si>
    <t xml:space="preserve">Pairwise comparison between acclimated and non-acclimated measurements of the resource threshold K </t>
  </si>
  <si>
    <t>ratio: " K acclimated / K non-acclimated"</t>
  </si>
  <si>
    <r>
      <t xml:space="preserve">Kemp, C. W., Robrish, S. A., Curtis, M. A., Sharer, S. A. &amp; Bowen, W. H. Application of a competition model to the growth of Streptococcus mutans and Streptococcus sanguis in binary continuous culture. </t>
    </r>
    <r>
      <rPr>
        <i/>
        <sz val="12"/>
        <color theme="1"/>
        <rFont val="Calibri"/>
        <family val="2"/>
        <scheme val="minor"/>
      </rPr>
      <t>Appl. Environ. Microbiol.</t>
    </r>
    <r>
      <rPr>
        <sz val="11"/>
        <color theme="1"/>
        <rFont val="Calibri"/>
        <family val="2"/>
        <scheme val="minor"/>
      </rPr>
      <t xml:space="preserve"> </t>
    </r>
    <r>
      <rPr>
        <b/>
        <sz val="12"/>
        <color theme="1"/>
        <rFont val="Calibri"/>
        <family val="2"/>
        <scheme val="minor"/>
      </rPr>
      <t>45</t>
    </r>
    <r>
      <rPr>
        <sz val="11"/>
        <color theme="1"/>
        <rFont val="Calibri"/>
        <family val="2"/>
        <scheme val="minor"/>
      </rPr>
      <t>, 1277–1282 (1983).</t>
    </r>
  </si>
  <si>
    <r>
      <t xml:space="preserve">Mechling, J.A., Kilham, S. S. Temperature effects on silicon limited growth of the lake michigan diatom Stephanodiscus Minutus (Baccilariophyceae). </t>
    </r>
    <r>
      <rPr>
        <i/>
        <sz val="12"/>
        <color theme="1"/>
        <rFont val="Calibri"/>
        <family val="2"/>
        <scheme val="minor"/>
      </rPr>
      <t>J. Phycol</t>
    </r>
    <r>
      <rPr>
        <sz val="11"/>
        <color theme="1"/>
        <rFont val="Calibri"/>
        <family val="2"/>
        <scheme val="minor"/>
      </rPr>
      <t xml:space="preserve"> </t>
    </r>
    <r>
      <rPr>
        <b/>
        <sz val="12"/>
        <color theme="1"/>
        <rFont val="Calibri"/>
        <family val="2"/>
        <scheme val="minor"/>
      </rPr>
      <t>18</t>
    </r>
    <r>
      <rPr>
        <sz val="11"/>
        <color theme="1"/>
        <rFont val="Calibri"/>
        <family val="2"/>
        <scheme val="minor"/>
      </rPr>
      <t>, 199–205 (1982).</t>
    </r>
  </si>
  <si>
    <r>
      <t xml:space="preserve">Jannasch, H. W. Growth characteristics of heterotrophic bacteria in seawater. </t>
    </r>
    <r>
      <rPr>
        <i/>
        <sz val="12"/>
        <color theme="1"/>
        <rFont val="Calibri"/>
        <family val="2"/>
        <scheme val="minor"/>
      </rPr>
      <t>J. Bacteriol.</t>
    </r>
    <r>
      <rPr>
        <sz val="11"/>
        <color theme="1"/>
        <rFont val="Calibri"/>
        <family val="2"/>
        <scheme val="minor"/>
      </rPr>
      <t xml:space="preserve"> </t>
    </r>
    <r>
      <rPr>
        <b/>
        <sz val="12"/>
        <color theme="1"/>
        <rFont val="Calibri"/>
        <family val="2"/>
        <scheme val="minor"/>
      </rPr>
      <t>95</t>
    </r>
    <r>
      <rPr>
        <sz val="11"/>
        <color theme="1"/>
        <rFont val="Calibri"/>
        <family val="2"/>
        <scheme val="minor"/>
      </rPr>
      <t>, 722–723 (1968).</t>
    </r>
  </si>
  <si>
    <t>N source</t>
  </si>
  <si>
    <t>sodium glutamate</t>
  </si>
  <si>
    <t>ammonium chloride</t>
  </si>
  <si>
    <t>urea</t>
  </si>
  <si>
    <t xml:space="preserve">ammonium  </t>
  </si>
  <si>
    <t>"L" broth with omitted glucose</t>
  </si>
  <si>
    <t>gmax only approx.</t>
  </si>
  <si>
    <r>
      <rPr>
        <u/>
        <sz val="12"/>
        <color theme="1"/>
        <rFont val="Calibri"/>
        <family val="2"/>
        <scheme val="minor"/>
      </rPr>
      <t>K original unit:</t>
    </r>
    <r>
      <rPr>
        <sz val="12"/>
        <color theme="1"/>
        <rFont val="Calibri"/>
        <family val="2"/>
        <scheme val="minor"/>
      </rPr>
      <t xml:space="preserve"> Monod half-saturation concentration as reported in the original study. If a range was reported in the study, the average is reported</t>
    </r>
  </si>
  <si>
    <t>Table S1. Monod K half-saturation concentration data collected from the literature</t>
  </si>
  <si>
    <t>log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</si>
</sst>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4"/>
      <color theme="1"/>
      <name val="Calibri"/>
      <family val="2"/>
      <scheme val="minor"/>
    </font>
    <font>
      <u/>
      <sz val="12"/>
      <color theme="1"/>
      <name val="Calibri"/>
      <family val="2"/>
      <scheme val="minor"/>
    </font>
    <font>
      <u/>
      <sz val="12"/>
      <color theme="1"/>
      <name val="Calibri (Body)"/>
    </font>
    <font>
      <sz val="12"/>
      <color theme="1"/>
      <name val="Calibri (Body)"/>
    </font>
    <font>
      <sz val="14"/>
      <color theme="1"/>
      <name val="Calibri"/>
      <family val="2"/>
      <scheme val="minor"/>
    </font>
    <font>
      <b/>
      <sz val="12"/>
      <color theme="1"/>
      <name val="Calibri (Body)"/>
    </font>
    <font>
      <sz val="12"/>
      <color theme="1"/>
      <name val="Calibri"/>
      <family val="2"/>
    </font>
    <font>
      <i/>
      <sz val="12"/>
      <color theme="1"/>
      <name val="Calibri"/>
      <family val="2"/>
      <scheme val="minor"/>
    </font>
    <font>
      <sz val="12"/>
      <color rgb="FF000000"/>
      <name val="Calibri"/>
      <family val="2"/>
      <scheme val="minor"/>
    </font>
    <font>
      <b/>
      <sz val="10"/>
      <color rgb="FF000000"/>
      <name val="Tahoma"/>
      <family val="2"/>
    </font>
    <font>
      <sz val="10"/>
      <color rgb="FF000000"/>
      <name val="Tahoma"/>
      <family val="2"/>
    </font>
  </fonts>
  <fills count="10">
    <fill>
      <patternFill patternType="none"/>
    </fill>
    <fill>
      <patternFill patternType="gray125"/>
    </fill>
    <fill>
      <patternFill patternType="solid">
        <fgColor theme="8"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9.9978637043366805E-2"/>
        <bgColor theme="6" tint="0.79998168889431442"/>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bgColor indexed="64"/>
      </patternFill>
    </fill>
  </fills>
  <borders count="4">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C9C9C9"/>
      </left>
      <right style="thin">
        <color rgb="FFC9C9C9"/>
      </right>
      <top style="thin">
        <color rgb="FFC9C9C9"/>
      </top>
      <bottom style="thin">
        <color rgb="FFC9C9C9"/>
      </bottom>
      <diagonal/>
    </border>
    <border>
      <left/>
      <right/>
      <top style="thin">
        <color indexed="64"/>
      </top>
      <bottom style="thin">
        <color indexed="64"/>
      </bottom>
      <diagonal/>
    </border>
  </borders>
  <cellStyleXfs count="4">
    <xf numFmtId="0" fontId="0" fillId="0" borderId="0"/>
    <xf numFmtId="0" fontId="4" fillId="0" borderId="0"/>
    <xf numFmtId="0" fontId="3" fillId="0" borderId="0"/>
    <xf numFmtId="0" fontId="3" fillId="0" borderId="0"/>
  </cellStyleXfs>
  <cellXfs count="72">
    <xf numFmtId="0" fontId="0" fillId="0" borderId="0" xfId="0"/>
    <xf numFmtId="0" fontId="11" fillId="0" borderId="0" xfId="0" applyFont="1"/>
    <xf numFmtId="0" fontId="7" fillId="0" borderId="0" xfId="0" applyFont="1"/>
    <xf numFmtId="0" fontId="4" fillId="0" borderId="0" xfId="0" applyFont="1"/>
    <xf numFmtId="0" fontId="8" fillId="0" borderId="0" xfId="0" applyFont="1"/>
    <xf numFmtId="0" fontId="9" fillId="0" borderId="0" xfId="0" applyFont="1"/>
    <xf numFmtId="2" fontId="0" fillId="0" borderId="0" xfId="0" applyNumberFormat="1"/>
    <xf numFmtId="0" fontId="5" fillId="2" borderId="3" xfId="0" applyFont="1" applyFill="1" applyBorder="1" applyAlignment="1">
      <alignment horizontal="left"/>
    </xf>
    <xf numFmtId="0" fontId="0" fillId="0" borderId="0" xfId="0" applyAlignment="1">
      <alignment horizontal="left"/>
    </xf>
    <xf numFmtId="0" fontId="7" fillId="0" borderId="0" xfId="2" applyFont="1"/>
    <xf numFmtId="0" fontId="3" fillId="0" borderId="0" xfId="2"/>
    <xf numFmtId="0" fontId="6" fillId="2" borderId="1" xfId="2" applyFont="1" applyFill="1" applyBorder="1" applyAlignment="1">
      <alignment wrapText="1"/>
    </xf>
    <xf numFmtId="49" fontId="6" fillId="2" borderId="1" xfId="2" applyNumberFormat="1" applyFont="1" applyFill="1" applyBorder="1" applyAlignment="1">
      <alignment wrapText="1"/>
    </xf>
    <xf numFmtId="0" fontId="6" fillId="3" borderId="1" xfId="2" applyFont="1" applyFill="1" applyBorder="1" applyAlignment="1">
      <alignment wrapText="1"/>
    </xf>
    <xf numFmtId="0" fontId="6" fillId="4" borderId="1" xfId="2" applyFont="1" applyFill="1" applyBorder="1" applyAlignment="1">
      <alignment wrapText="1"/>
    </xf>
    <xf numFmtId="0" fontId="6" fillId="5" borderId="1" xfId="2" applyFont="1" applyFill="1" applyBorder="1" applyAlignment="1">
      <alignment wrapText="1"/>
    </xf>
    <xf numFmtId="0" fontId="6" fillId="6" borderId="1" xfId="2" applyFont="1" applyFill="1" applyBorder="1" applyAlignment="1">
      <alignment wrapText="1"/>
    </xf>
    <xf numFmtId="0" fontId="12" fillId="6" borderId="1" xfId="2" applyFont="1" applyFill="1" applyBorder="1" applyAlignment="1">
      <alignment wrapText="1"/>
    </xf>
    <xf numFmtId="0" fontId="3" fillId="7" borderId="1" xfId="2" applyFill="1" applyBorder="1" applyAlignment="1">
      <alignment wrapText="1"/>
    </xf>
    <xf numFmtId="49" fontId="3" fillId="7" borderId="1" xfId="2" applyNumberFormat="1" applyFill="1" applyBorder="1" applyAlignment="1">
      <alignment wrapText="1"/>
    </xf>
    <xf numFmtId="0" fontId="13" fillId="7" borderId="1" xfId="2" applyFont="1" applyFill="1" applyBorder="1" applyAlignment="1">
      <alignment wrapText="1"/>
    </xf>
    <xf numFmtId="0" fontId="3" fillId="4" borderId="1" xfId="2" applyFill="1" applyBorder="1" applyAlignment="1">
      <alignment wrapText="1"/>
    </xf>
    <xf numFmtId="0" fontId="3" fillId="8" borderId="1" xfId="2" applyFill="1" applyBorder="1" applyAlignment="1">
      <alignment wrapText="1"/>
    </xf>
    <xf numFmtId="0" fontId="3" fillId="7" borderId="0" xfId="2" applyFill="1"/>
    <xf numFmtId="0" fontId="15" fillId="8" borderId="1" xfId="2" applyFont="1" applyFill="1" applyBorder="1" applyAlignment="1">
      <alignment wrapText="1"/>
    </xf>
    <xf numFmtId="49" fontId="15" fillId="8" borderId="1" xfId="2" applyNumberFormat="1" applyFont="1" applyFill="1" applyBorder="1" applyAlignment="1">
      <alignment wrapText="1"/>
    </xf>
    <xf numFmtId="0" fontId="15" fillId="4" borderId="1" xfId="2" applyFont="1" applyFill="1" applyBorder="1" applyAlignment="1">
      <alignment wrapText="1"/>
    </xf>
    <xf numFmtId="0" fontId="15" fillId="8" borderId="0" xfId="2" applyFont="1" applyFill="1"/>
    <xf numFmtId="0" fontId="3" fillId="8" borderId="0" xfId="2" applyFill="1"/>
    <xf numFmtId="49" fontId="3" fillId="8" borderId="1" xfId="2" applyNumberFormat="1" applyFill="1" applyBorder="1" applyAlignment="1">
      <alignment wrapText="1"/>
    </xf>
    <xf numFmtId="0" fontId="13" fillId="8" borderId="1" xfId="2" applyFont="1" applyFill="1" applyBorder="1" applyAlignment="1">
      <alignment wrapText="1"/>
    </xf>
    <xf numFmtId="49" fontId="13" fillId="7" borderId="1" xfId="2" applyNumberFormat="1" applyFont="1" applyFill="1" applyBorder="1" applyAlignment="1">
      <alignment wrapText="1"/>
    </xf>
    <xf numFmtId="0" fontId="3" fillId="7" borderId="0" xfId="2" applyFill="1" applyAlignment="1">
      <alignment wrapText="1"/>
    </xf>
    <xf numFmtId="49" fontId="13" fillId="8" borderId="1" xfId="2" applyNumberFormat="1" applyFont="1" applyFill="1" applyBorder="1" applyAlignment="1">
      <alignment wrapText="1"/>
    </xf>
    <xf numFmtId="0" fontId="3" fillId="8" borderId="1" xfId="2" applyFill="1" applyBorder="1"/>
    <xf numFmtId="0" fontId="3" fillId="7" borderId="1" xfId="2" applyFill="1" applyBorder="1"/>
    <xf numFmtId="0" fontId="15" fillId="7" borderId="1" xfId="2" applyFont="1" applyFill="1" applyBorder="1" applyAlignment="1">
      <alignment wrapText="1"/>
    </xf>
    <xf numFmtId="1" fontId="3" fillId="4" borderId="1" xfId="2" applyNumberFormat="1" applyFill="1" applyBorder="1" applyAlignment="1">
      <alignment wrapText="1"/>
    </xf>
    <xf numFmtId="0" fontId="15" fillId="7" borderId="0" xfId="2" applyFont="1" applyFill="1"/>
    <xf numFmtId="0" fontId="13" fillId="9" borderId="1" xfId="2" applyFont="1" applyFill="1" applyBorder="1" applyAlignment="1">
      <alignment wrapText="1"/>
    </xf>
    <xf numFmtId="49" fontId="13" fillId="9" borderId="1" xfId="2" applyNumberFormat="1" applyFont="1" applyFill="1" applyBorder="1" applyAlignment="1">
      <alignment wrapText="1"/>
    </xf>
    <xf numFmtId="0" fontId="3" fillId="9" borderId="1" xfId="2" applyFill="1" applyBorder="1"/>
    <xf numFmtId="0" fontId="15" fillId="9" borderId="1" xfId="2" applyFont="1" applyFill="1" applyBorder="1" applyAlignment="1">
      <alignment wrapText="1"/>
    </xf>
    <xf numFmtId="0" fontId="3" fillId="9" borderId="1" xfId="2" applyFill="1" applyBorder="1" applyAlignment="1">
      <alignment wrapText="1"/>
    </xf>
    <xf numFmtId="0" fontId="15" fillId="9" borderId="0" xfId="2" applyFont="1" applyFill="1"/>
    <xf numFmtId="0" fontId="3" fillId="9" borderId="0" xfId="2" applyFill="1"/>
    <xf numFmtId="0" fontId="3" fillId="9" borderId="0" xfId="2" applyFill="1" applyAlignment="1">
      <alignment wrapText="1"/>
    </xf>
    <xf numFmtId="0" fontId="3" fillId="4" borderId="0" xfId="2" applyFill="1" applyAlignment="1">
      <alignment wrapText="1"/>
    </xf>
    <xf numFmtId="0" fontId="7" fillId="0" borderId="0" xfId="3" applyFont="1"/>
    <xf numFmtId="0" fontId="3" fillId="0" borderId="0" xfId="3"/>
    <xf numFmtId="0" fontId="6" fillId="2" borderId="1" xfId="3" applyFont="1" applyFill="1" applyBorder="1" applyAlignment="1">
      <alignment wrapText="1"/>
    </xf>
    <xf numFmtId="49" fontId="6" fillId="2" borderId="1" xfId="3" applyNumberFormat="1" applyFont="1" applyFill="1" applyBorder="1" applyAlignment="1">
      <alignment wrapText="1"/>
    </xf>
    <xf numFmtId="0" fontId="6" fillId="4" borderId="1" xfId="3" applyFont="1" applyFill="1" applyBorder="1" applyAlignment="1">
      <alignment horizontal="left" wrapText="1"/>
    </xf>
    <xf numFmtId="0" fontId="6" fillId="4" borderId="1" xfId="3" applyFont="1" applyFill="1" applyBorder="1" applyAlignment="1">
      <alignment wrapText="1"/>
    </xf>
    <xf numFmtId="0" fontId="6" fillId="4" borderId="0" xfId="3" applyFont="1" applyFill="1"/>
    <xf numFmtId="0" fontId="6" fillId="3" borderId="1" xfId="3" applyFont="1" applyFill="1" applyBorder="1" applyAlignment="1">
      <alignment wrapText="1"/>
    </xf>
    <xf numFmtId="0" fontId="6" fillId="5" borderId="1" xfId="3" applyFont="1" applyFill="1" applyBorder="1" applyAlignment="1">
      <alignment wrapText="1"/>
    </xf>
    <xf numFmtId="0" fontId="6" fillId="6" borderId="1" xfId="3" applyFont="1" applyFill="1" applyBorder="1" applyAlignment="1">
      <alignment wrapText="1"/>
    </xf>
    <xf numFmtId="0" fontId="12" fillId="6" borderId="1" xfId="3" applyFont="1" applyFill="1" applyBorder="1" applyAlignment="1">
      <alignment wrapText="1"/>
    </xf>
    <xf numFmtId="0" fontId="13" fillId="0" borderId="1" xfId="3" applyFont="1" applyBorder="1" applyAlignment="1">
      <alignment wrapText="1"/>
    </xf>
    <xf numFmtId="49" fontId="13" fillId="0" borderId="1" xfId="3" applyNumberFormat="1" applyFont="1" applyBorder="1" applyAlignment="1">
      <alignment wrapText="1"/>
    </xf>
    <xf numFmtId="0" fontId="3" fillId="0" borderId="1" xfId="3" applyBorder="1" applyAlignment="1">
      <alignment wrapText="1"/>
    </xf>
    <xf numFmtId="0" fontId="3" fillId="0" borderId="1" xfId="3" applyBorder="1" applyAlignment="1">
      <alignment horizontal="left" vertical="center" wrapText="1"/>
    </xf>
    <xf numFmtId="49" fontId="3" fillId="0" borderId="1" xfId="3" applyNumberFormat="1" applyBorder="1"/>
    <xf numFmtId="0" fontId="3" fillId="0" borderId="1" xfId="3" applyBorder="1"/>
    <xf numFmtId="0" fontId="3" fillId="0" borderId="0" xfId="3" applyAlignment="1">
      <alignment wrapText="1"/>
    </xf>
    <xf numFmtId="0" fontId="3" fillId="0" borderId="0" xfId="3" applyAlignment="1">
      <alignment horizontal="left" vertical="center" wrapText="1"/>
    </xf>
    <xf numFmtId="0" fontId="3" fillId="0" borderId="2" xfId="3" applyBorder="1"/>
    <xf numFmtId="0" fontId="15" fillId="0" borderId="1" xfId="3" applyFont="1" applyBorder="1" applyAlignment="1">
      <alignment wrapText="1"/>
    </xf>
    <xf numFmtId="0" fontId="15" fillId="0" borderId="0" xfId="3" applyFont="1"/>
    <xf numFmtId="0" fontId="3" fillId="0" borderId="0" xfId="3" applyAlignment="1">
      <alignment vertical="center" wrapText="1"/>
    </xf>
    <xf numFmtId="0" fontId="2" fillId="0" borderId="0" xfId="0" applyFont="1"/>
  </cellXfs>
  <cellStyles count="4">
    <cellStyle name="Normal" xfId="0" builtinId="0"/>
    <cellStyle name="Normal 2" xfId="1" xr:uid="{515E4BE8-4365-3D45-AF80-A744EB8FFCBC}"/>
    <cellStyle name="Normal 2 2" xfId="3" xr:uid="{660F091D-4A3C-7948-9434-C03AED34C968}"/>
    <cellStyle name="Normal 3" xfId="2" xr:uid="{96C511CB-3DFB-E84C-95CA-6DAF7DFDF0A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304800" cy="304800"/>
    <xdr:sp macro="" textlink="">
      <xdr:nvSpPr>
        <xdr:cNvPr id="2" name="AutoShape 2">
          <a:extLst>
            <a:ext uri="{FF2B5EF4-FFF2-40B4-BE49-F238E27FC236}">
              <a16:creationId xmlns:a16="http://schemas.microsoft.com/office/drawing/2014/main" id="{D63B1E02-8465-064C-94AC-13ACDB9EE317}"/>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3" name="AutoShape 1">
          <a:extLst>
            <a:ext uri="{FF2B5EF4-FFF2-40B4-BE49-F238E27FC236}">
              <a16:creationId xmlns:a16="http://schemas.microsoft.com/office/drawing/2014/main" id="{10B08F19-D017-B54E-AAD1-495478E172F9}"/>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4" name="AutoShape 2">
          <a:extLst>
            <a:ext uri="{FF2B5EF4-FFF2-40B4-BE49-F238E27FC236}">
              <a16:creationId xmlns:a16="http://schemas.microsoft.com/office/drawing/2014/main" id="{74B685E1-3662-6741-B658-3CABD61B634E}"/>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5" name="AutoShape 1">
          <a:extLst>
            <a:ext uri="{FF2B5EF4-FFF2-40B4-BE49-F238E27FC236}">
              <a16:creationId xmlns:a16="http://schemas.microsoft.com/office/drawing/2014/main" id="{15D12AEA-7B3C-DF40-A73B-F77FDF5515B3}"/>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6" name="AutoShape 2">
          <a:extLst>
            <a:ext uri="{FF2B5EF4-FFF2-40B4-BE49-F238E27FC236}">
              <a16:creationId xmlns:a16="http://schemas.microsoft.com/office/drawing/2014/main" id="{7A268567-DC6F-014A-A9F7-EECFCDB835E6}"/>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7" name="AutoShape 1">
          <a:extLst>
            <a:ext uri="{FF2B5EF4-FFF2-40B4-BE49-F238E27FC236}">
              <a16:creationId xmlns:a16="http://schemas.microsoft.com/office/drawing/2014/main" id="{7CF12196-4D1A-7D4E-89DE-C66B5678D087}"/>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8" name="AutoShape 2">
          <a:extLst>
            <a:ext uri="{FF2B5EF4-FFF2-40B4-BE49-F238E27FC236}">
              <a16:creationId xmlns:a16="http://schemas.microsoft.com/office/drawing/2014/main" id="{24EC34BF-A268-494D-8A99-97E3AA630741}"/>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9" name="AutoShape 1">
          <a:extLst>
            <a:ext uri="{FF2B5EF4-FFF2-40B4-BE49-F238E27FC236}">
              <a16:creationId xmlns:a16="http://schemas.microsoft.com/office/drawing/2014/main" id="{5076E7FE-358A-7540-8FE5-EDA3753A7C69}"/>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0" name="AutoShape 2">
          <a:extLst>
            <a:ext uri="{FF2B5EF4-FFF2-40B4-BE49-F238E27FC236}">
              <a16:creationId xmlns:a16="http://schemas.microsoft.com/office/drawing/2014/main" id="{69B38C8B-8590-674C-8F87-49E91C2B4093}"/>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1" name="AutoShape 1">
          <a:extLst>
            <a:ext uri="{FF2B5EF4-FFF2-40B4-BE49-F238E27FC236}">
              <a16:creationId xmlns:a16="http://schemas.microsoft.com/office/drawing/2014/main" id="{04BA398E-949A-C642-940C-A4722647C8A6}"/>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2" name="AutoShape 2">
          <a:extLst>
            <a:ext uri="{FF2B5EF4-FFF2-40B4-BE49-F238E27FC236}">
              <a16:creationId xmlns:a16="http://schemas.microsoft.com/office/drawing/2014/main" id="{D0722779-70EA-5D4D-890E-C87410E4DF56}"/>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3" name="AutoShape 2">
          <a:extLst>
            <a:ext uri="{FF2B5EF4-FFF2-40B4-BE49-F238E27FC236}">
              <a16:creationId xmlns:a16="http://schemas.microsoft.com/office/drawing/2014/main" id="{9EBA8D17-5FB0-5244-8BC6-C3388E48DFDE}"/>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4" name="AutoShape 1">
          <a:extLst>
            <a:ext uri="{FF2B5EF4-FFF2-40B4-BE49-F238E27FC236}">
              <a16:creationId xmlns:a16="http://schemas.microsoft.com/office/drawing/2014/main" id="{673E60E8-8540-F640-A204-72E510A207A9}"/>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5" name="AutoShape 1">
          <a:extLst>
            <a:ext uri="{FF2B5EF4-FFF2-40B4-BE49-F238E27FC236}">
              <a16:creationId xmlns:a16="http://schemas.microsoft.com/office/drawing/2014/main" id="{73BED975-42CA-B345-9415-FEA6243B4DB3}"/>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6" name="AutoShape 2">
          <a:extLst>
            <a:ext uri="{FF2B5EF4-FFF2-40B4-BE49-F238E27FC236}">
              <a16:creationId xmlns:a16="http://schemas.microsoft.com/office/drawing/2014/main" id="{43164528-6C79-5C4E-BFE0-A6F741BDB844}"/>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17" name="AutoShape 1">
          <a:extLst>
            <a:ext uri="{FF2B5EF4-FFF2-40B4-BE49-F238E27FC236}">
              <a16:creationId xmlns:a16="http://schemas.microsoft.com/office/drawing/2014/main" id="{26B7F872-F83B-BD49-91E4-C8B5348716D8}"/>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18" name="AutoShape 1">
          <a:extLst>
            <a:ext uri="{FF2B5EF4-FFF2-40B4-BE49-F238E27FC236}">
              <a16:creationId xmlns:a16="http://schemas.microsoft.com/office/drawing/2014/main" id="{F2C85BD0-7480-4942-A7BD-FBAA27BF69A3}"/>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19" name="AutoShape 2">
          <a:extLst>
            <a:ext uri="{FF2B5EF4-FFF2-40B4-BE49-F238E27FC236}">
              <a16:creationId xmlns:a16="http://schemas.microsoft.com/office/drawing/2014/main" id="{13D0E5B7-6337-C44B-AA9E-0BE4E26EF43A}"/>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20" name="AutoShape 1">
          <a:extLst>
            <a:ext uri="{FF2B5EF4-FFF2-40B4-BE49-F238E27FC236}">
              <a16:creationId xmlns:a16="http://schemas.microsoft.com/office/drawing/2014/main" id="{EFAEF726-C09C-4F49-9912-5D583245C673}"/>
            </a:ext>
          </a:extLst>
        </xdr:cNvPr>
        <xdr:cNvSpPr>
          <a:spLocks noChangeAspect="1" noChangeArrowheads="1"/>
        </xdr:cNvSpPr>
      </xdr:nvSpPr>
      <xdr:spPr bwMode="auto">
        <a:xfrm>
          <a:off x="0" y="24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xdr:row>
      <xdr:rowOff>0</xdr:rowOff>
    </xdr:from>
    <xdr:ext cx="304800" cy="304800"/>
    <xdr:sp macro="" textlink="">
      <xdr:nvSpPr>
        <xdr:cNvPr id="21" name="AutoShape 2">
          <a:extLst>
            <a:ext uri="{FF2B5EF4-FFF2-40B4-BE49-F238E27FC236}">
              <a16:creationId xmlns:a16="http://schemas.microsoft.com/office/drawing/2014/main" id="{944274C0-B33B-CF43-A86D-156A38919DBD}"/>
            </a:ext>
          </a:extLst>
        </xdr:cNvPr>
        <xdr:cNvSpPr>
          <a:spLocks noChangeAspect="1" noChangeArrowheads="1"/>
        </xdr:cNvSpPr>
      </xdr:nvSpPr>
      <xdr:spPr bwMode="auto">
        <a:xfrm>
          <a:off x="0" y="58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2" name="AutoShape 1">
          <a:extLst>
            <a:ext uri="{FF2B5EF4-FFF2-40B4-BE49-F238E27FC236}">
              <a16:creationId xmlns:a16="http://schemas.microsoft.com/office/drawing/2014/main" id="{CB43AA5C-596E-2F46-9678-8B25BD6221F4}"/>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3" name="AutoShape 1">
          <a:extLst>
            <a:ext uri="{FF2B5EF4-FFF2-40B4-BE49-F238E27FC236}">
              <a16:creationId xmlns:a16="http://schemas.microsoft.com/office/drawing/2014/main" id="{2792F9C2-58AF-074E-9B28-14024BC9C6B0}"/>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4" name="AutoShape 2">
          <a:extLst>
            <a:ext uri="{FF2B5EF4-FFF2-40B4-BE49-F238E27FC236}">
              <a16:creationId xmlns:a16="http://schemas.microsoft.com/office/drawing/2014/main" id="{7E0670C4-75CC-FF4F-B680-68EF0A21BA00}"/>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5" name="AutoShape 1">
          <a:extLst>
            <a:ext uri="{FF2B5EF4-FFF2-40B4-BE49-F238E27FC236}">
              <a16:creationId xmlns:a16="http://schemas.microsoft.com/office/drawing/2014/main" id="{8BEA052F-6AC2-6140-BD0C-5E4992BD6E04}"/>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6" name="AutoShape 1">
          <a:extLst>
            <a:ext uri="{FF2B5EF4-FFF2-40B4-BE49-F238E27FC236}">
              <a16:creationId xmlns:a16="http://schemas.microsoft.com/office/drawing/2014/main" id="{05018570-5784-3D49-9D2F-20930EFF9CB8}"/>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27" name="AutoShape 2">
          <a:extLst>
            <a:ext uri="{FF2B5EF4-FFF2-40B4-BE49-F238E27FC236}">
              <a16:creationId xmlns:a16="http://schemas.microsoft.com/office/drawing/2014/main" id="{3BF75495-CCA0-4447-9F63-2A1687FA95CB}"/>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xdr:row>
      <xdr:rowOff>0</xdr:rowOff>
    </xdr:from>
    <xdr:ext cx="304800" cy="304800"/>
    <xdr:sp macro="" textlink="">
      <xdr:nvSpPr>
        <xdr:cNvPr id="28" name="AutoShape 1">
          <a:extLst>
            <a:ext uri="{FF2B5EF4-FFF2-40B4-BE49-F238E27FC236}">
              <a16:creationId xmlns:a16="http://schemas.microsoft.com/office/drawing/2014/main" id="{2172F8E5-9D34-C74C-A334-17828DEA1EF0}"/>
            </a:ext>
          </a:extLst>
        </xdr:cNvPr>
        <xdr:cNvSpPr>
          <a:spLocks noChangeAspect="1" noChangeArrowheads="1"/>
        </xdr:cNvSpPr>
      </xdr:nvSpPr>
      <xdr:spPr bwMode="auto">
        <a:xfrm>
          <a:off x="0" y="115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29" name="AutoShape 2">
          <a:extLst>
            <a:ext uri="{FF2B5EF4-FFF2-40B4-BE49-F238E27FC236}">
              <a16:creationId xmlns:a16="http://schemas.microsoft.com/office/drawing/2014/main" id="{74FA69E5-509A-024C-A3AE-F1A7C3C4896A}"/>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xdr:row>
      <xdr:rowOff>0</xdr:rowOff>
    </xdr:from>
    <xdr:ext cx="304800" cy="304800"/>
    <xdr:sp macro="" textlink="">
      <xdr:nvSpPr>
        <xdr:cNvPr id="30" name="AutoShape 1">
          <a:extLst>
            <a:ext uri="{FF2B5EF4-FFF2-40B4-BE49-F238E27FC236}">
              <a16:creationId xmlns:a16="http://schemas.microsoft.com/office/drawing/2014/main" id="{CC2BF2BE-19EB-8C4A-9214-AF86D643368D}"/>
            </a:ext>
          </a:extLst>
        </xdr:cNvPr>
        <xdr:cNvSpPr>
          <a:spLocks noChangeAspect="1" noChangeArrowheads="1"/>
        </xdr:cNvSpPr>
      </xdr:nvSpPr>
      <xdr:spPr bwMode="auto">
        <a:xfrm>
          <a:off x="0" y="115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xdr:row>
      <xdr:rowOff>0</xdr:rowOff>
    </xdr:from>
    <xdr:ext cx="304800" cy="304800"/>
    <xdr:sp macro="" textlink="">
      <xdr:nvSpPr>
        <xdr:cNvPr id="31" name="AutoShape 2">
          <a:extLst>
            <a:ext uri="{FF2B5EF4-FFF2-40B4-BE49-F238E27FC236}">
              <a16:creationId xmlns:a16="http://schemas.microsoft.com/office/drawing/2014/main" id="{88CE7E69-62DD-1F44-9DCF-6F442B809F38}"/>
            </a:ext>
          </a:extLst>
        </xdr:cNvPr>
        <xdr:cNvSpPr>
          <a:spLocks noChangeAspect="1" noChangeArrowheads="1"/>
        </xdr:cNvSpPr>
      </xdr:nvSpPr>
      <xdr:spPr bwMode="auto">
        <a:xfrm>
          <a:off x="0" y="115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2" name="AutoShape 2">
          <a:extLst>
            <a:ext uri="{FF2B5EF4-FFF2-40B4-BE49-F238E27FC236}">
              <a16:creationId xmlns:a16="http://schemas.microsoft.com/office/drawing/2014/main" id="{21231AE7-2D32-764B-AFEE-D01ED3C649F7}"/>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3" name="AutoShape 1">
          <a:extLst>
            <a:ext uri="{FF2B5EF4-FFF2-40B4-BE49-F238E27FC236}">
              <a16:creationId xmlns:a16="http://schemas.microsoft.com/office/drawing/2014/main" id="{9B680FDC-88DD-C24A-A358-1A09CF3F1CE6}"/>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4" name="AutoShape 1">
          <a:extLst>
            <a:ext uri="{FF2B5EF4-FFF2-40B4-BE49-F238E27FC236}">
              <a16:creationId xmlns:a16="http://schemas.microsoft.com/office/drawing/2014/main" id="{3F05813C-5C7E-DF4E-99F7-B3A0E3DEECBE}"/>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5" name="AutoShape 2">
          <a:extLst>
            <a:ext uri="{FF2B5EF4-FFF2-40B4-BE49-F238E27FC236}">
              <a16:creationId xmlns:a16="http://schemas.microsoft.com/office/drawing/2014/main" id="{171D52B9-4401-F64F-BC8A-E051462879ED}"/>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6" name="AutoShape 1">
          <a:extLst>
            <a:ext uri="{FF2B5EF4-FFF2-40B4-BE49-F238E27FC236}">
              <a16:creationId xmlns:a16="http://schemas.microsoft.com/office/drawing/2014/main" id="{8DFAC2AA-E089-7946-BDFB-A8121A7219BD}"/>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37" name="AutoShape 2">
          <a:extLst>
            <a:ext uri="{FF2B5EF4-FFF2-40B4-BE49-F238E27FC236}">
              <a16:creationId xmlns:a16="http://schemas.microsoft.com/office/drawing/2014/main" id="{C365E174-9422-CF41-B93A-B3807E1949BF}"/>
            </a:ext>
          </a:extLst>
        </xdr:cNvPr>
        <xdr:cNvSpPr>
          <a:spLocks noChangeAspect="1" noChangeArrowheads="1"/>
        </xdr:cNvSpPr>
      </xdr:nvSpPr>
      <xdr:spPr bwMode="auto">
        <a:xfrm>
          <a:off x="0" y="32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38" name="AutoShape 1">
          <a:extLst>
            <a:ext uri="{FF2B5EF4-FFF2-40B4-BE49-F238E27FC236}">
              <a16:creationId xmlns:a16="http://schemas.microsoft.com/office/drawing/2014/main" id="{2BC2672D-4796-9542-B39A-B96D35B5DFE8}"/>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39" name="AutoShape 1">
          <a:extLst>
            <a:ext uri="{FF2B5EF4-FFF2-40B4-BE49-F238E27FC236}">
              <a16:creationId xmlns:a16="http://schemas.microsoft.com/office/drawing/2014/main" id="{9B5EB0A7-BF38-D548-8183-E0FCFFE7FA5B}"/>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40" name="AutoShape 2">
          <a:extLst>
            <a:ext uri="{FF2B5EF4-FFF2-40B4-BE49-F238E27FC236}">
              <a16:creationId xmlns:a16="http://schemas.microsoft.com/office/drawing/2014/main" id="{8FFC8A9C-3478-F844-80C4-A2406E443C2C}"/>
            </a:ext>
          </a:extLst>
        </xdr:cNvPr>
        <xdr:cNvSpPr>
          <a:spLocks noChangeAspect="1" noChangeArrowheads="1"/>
        </xdr:cNvSpPr>
      </xdr:nvSpPr>
      <xdr:spPr bwMode="auto">
        <a:xfrm>
          <a:off x="0" y="283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1" name="AutoShape 1">
          <a:extLst>
            <a:ext uri="{FF2B5EF4-FFF2-40B4-BE49-F238E27FC236}">
              <a16:creationId xmlns:a16="http://schemas.microsoft.com/office/drawing/2014/main" id="{BC23615F-5C4C-4644-B049-31C8971197A8}"/>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2" name="AutoShape 1">
          <a:extLst>
            <a:ext uri="{FF2B5EF4-FFF2-40B4-BE49-F238E27FC236}">
              <a16:creationId xmlns:a16="http://schemas.microsoft.com/office/drawing/2014/main" id="{F4AF0C28-48BA-504C-A93A-061246CCD387}"/>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3" name="AutoShape 2">
          <a:extLst>
            <a:ext uri="{FF2B5EF4-FFF2-40B4-BE49-F238E27FC236}">
              <a16:creationId xmlns:a16="http://schemas.microsoft.com/office/drawing/2014/main" id="{CEB60810-8B00-EA46-AF9D-BBEF6588F5E8}"/>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4" name="AutoShape 1">
          <a:extLst>
            <a:ext uri="{FF2B5EF4-FFF2-40B4-BE49-F238E27FC236}">
              <a16:creationId xmlns:a16="http://schemas.microsoft.com/office/drawing/2014/main" id="{7260BCB8-803D-7B4D-B36C-8896E0B3F038}"/>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5" name="AutoShape 1">
          <a:extLst>
            <a:ext uri="{FF2B5EF4-FFF2-40B4-BE49-F238E27FC236}">
              <a16:creationId xmlns:a16="http://schemas.microsoft.com/office/drawing/2014/main" id="{C0F9287D-9901-3346-9E4B-FC20EE132FFD}"/>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6" name="AutoShape 2">
          <a:extLst>
            <a:ext uri="{FF2B5EF4-FFF2-40B4-BE49-F238E27FC236}">
              <a16:creationId xmlns:a16="http://schemas.microsoft.com/office/drawing/2014/main" id="{06730AC5-1874-5A47-8811-80414EBBBDE2}"/>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7" name="AutoShape 1">
          <a:extLst>
            <a:ext uri="{FF2B5EF4-FFF2-40B4-BE49-F238E27FC236}">
              <a16:creationId xmlns:a16="http://schemas.microsoft.com/office/drawing/2014/main" id="{0F208E8C-7CD7-3244-B5A8-7D135922DD0C}"/>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8" name="AutoShape 1">
          <a:extLst>
            <a:ext uri="{FF2B5EF4-FFF2-40B4-BE49-F238E27FC236}">
              <a16:creationId xmlns:a16="http://schemas.microsoft.com/office/drawing/2014/main" id="{B811C8BA-253B-1E44-955D-E68C1DEDE8D7}"/>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49" name="AutoShape 2">
          <a:extLst>
            <a:ext uri="{FF2B5EF4-FFF2-40B4-BE49-F238E27FC236}">
              <a16:creationId xmlns:a16="http://schemas.microsoft.com/office/drawing/2014/main" id="{D3783844-914D-7C42-8624-C06FD401A05F}"/>
            </a:ext>
          </a:extLst>
        </xdr:cNvPr>
        <xdr:cNvSpPr>
          <a:spLocks noChangeAspect="1" noChangeArrowheads="1"/>
        </xdr:cNvSpPr>
      </xdr:nvSpPr>
      <xdr:spPr bwMode="auto">
        <a:xfrm>
          <a:off x="0" y="1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50" name="AutoShape 1">
          <a:extLst>
            <a:ext uri="{FF2B5EF4-FFF2-40B4-BE49-F238E27FC236}">
              <a16:creationId xmlns:a16="http://schemas.microsoft.com/office/drawing/2014/main" id="{A75A1302-E974-CF45-951D-1754B91123A3}"/>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51" name="AutoShape 1">
          <a:extLst>
            <a:ext uri="{FF2B5EF4-FFF2-40B4-BE49-F238E27FC236}">
              <a16:creationId xmlns:a16="http://schemas.microsoft.com/office/drawing/2014/main" id="{02EC23BE-CF72-E441-8197-2334F0A691FC}"/>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52" name="AutoShape 2">
          <a:extLst>
            <a:ext uri="{FF2B5EF4-FFF2-40B4-BE49-F238E27FC236}">
              <a16:creationId xmlns:a16="http://schemas.microsoft.com/office/drawing/2014/main" id="{93697B95-621D-B64B-9D04-F1FFC6908DCD}"/>
            </a:ext>
          </a:extLst>
        </xdr:cNvPr>
        <xdr:cNvSpPr>
          <a:spLocks noChangeAspect="1" noChangeArrowheads="1"/>
        </xdr:cNvSpPr>
      </xdr:nvSpPr>
      <xdr:spPr bwMode="auto">
        <a:xfrm>
          <a:off x="0" y="36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3" name="AutoShape 1">
          <a:extLst>
            <a:ext uri="{FF2B5EF4-FFF2-40B4-BE49-F238E27FC236}">
              <a16:creationId xmlns:a16="http://schemas.microsoft.com/office/drawing/2014/main" id="{0F93006A-0654-3742-84E7-96B7EC25E019}"/>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54" name="AutoShape 2">
          <a:extLst>
            <a:ext uri="{FF2B5EF4-FFF2-40B4-BE49-F238E27FC236}">
              <a16:creationId xmlns:a16="http://schemas.microsoft.com/office/drawing/2014/main" id="{C6178D48-FA6D-064C-9D19-D7DF1C2AB3A4}"/>
            </a:ext>
          </a:extLst>
        </xdr:cNvPr>
        <xdr:cNvSpPr>
          <a:spLocks noChangeAspect="1" noChangeArrowheads="1"/>
        </xdr:cNvSpPr>
      </xdr:nvSpPr>
      <xdr:spPr bwMode="auto">
        <a:xfrm>
          <a:off x="0" y="24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5" name="AutoShape 1">
          <a:extLst>
            <a:ext uri="{FF2B5EF4-FFF2-40B4-BE49-F238E27FC236}">
              <a16:creationId xmlns:a16="http://schemas.microsoft.com/office/drawing/2014/main" id="{DDEA1A6B-737B-9C43-AE3D-78873CB06C2E}"/>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6" name="AutoShape 1">
          <a:extLst>
            <a:ext uri="{FF2B5EF4-FFF2-40B4-BE49-F238E27FC236}">
              <a16:creationId xmlns:a16="http://schemas.microsoft.com/office/drawing/2014/main" id="{0974F0B9-515F-FD40-8260-4AC6A5285BFF}"/>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7" name="AutoShape 2">
          <a:extLst>
            <a:ext uri="{FF2B5EF4-FFF2-40B4-BE49-F238E27FC236}">
              <a16:creationId xmlns:a16="http://schemas.microsoft.com/office/drawing/2014/main" id="{E5B30217-CF34-144E-B338-591F0432DDC6}"/>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8" name="AutoShape 1">
          <a:extLst>
            <a:ext uri="{FF2B5EF4-FFF2-40B4-BE49-F238E27FC236}">
              <a16:creationId xmlns:a16="http://schemas.microsoft.com/office/drawing/2014/main" id="{705037F2-F7DB-BC40-8CE5-A4B5D7A2B606}"/>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59" name="AutoShape 1">
          <a:extLst>
            <a:ext uri="{FF2B5EF4-FFF2-40B4-BE49-F238E27FC236}">
              <a16:creationId xmlns:a16="http://schemas.microsoft.com/office/drawing/2014/main" id="{43C61DF7-9C46-1948-A442-4F4F4E330C41}"/>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304800"/>
    <xdr:sp macro="" textlink="">
      <xdr:nvSpPr>
        <xdr:cNvPr id="60" name="AutoShape 2">
          <a:extLst>
            <a:ext uri="{FF2B5EF4-FFF2-40B4-BE49-F238E27FC236}">
              <a16:creationId xmlns:a16="http://schemas.microsoft.com/office/drawing/2014/main" id="{B4808C12-183B-3140-9368-B6947428C50F}"/>
            </a:ext>
          </a:extLst>
        </xdr:cNvPr>
        <xdr:cNvSpPr>
          <a:spLocks noChangeAspect="1" noChangeArrowheads="1"/>
        </xdr:cNvSpPr>
      </xdr:nvSpPr>
      <xdr:spPr bwMode="auto">
        <a:xfrm>
          <a:off x="0" y="828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9"/>
  <sheetViews>
    <sheetView tabSelected="1" topLeftCell="A12" workbookViewId="0">
      <selection activeCell="I31" sqref="I31"/>
    </sheetView>
  </sheetViews>
  <sheetFormatPr baseColWidth="10" defaultColWidth="8.83203125" defaultRowHeight="15" x14ac:dyDescent="0.2"/>
  <cols>
    <col min="1" max="1" width="15.33203125" customWidth="1"/>
    <col min="2" max="2" width="21.83203125" customWidth="1"/>
    <col min="3" max="3" width="13.1640625" customWidth="1"/>
    <col min="4" max="4" width="10.6640625" customWidth="1"/>
    <col min="5" max="5" width="11" customWidth="1"/>
    <col min="6" max="6" width="16.1640625" customWidth="1"/>
    <col min="7" max="7" width="15.83203125" customWidth="1"/>
    <col min="8" max="8" width="12.83203125" customWidth="1"/>
    <col min="9" max="9" width="11.5" customWidth="1"/>
    <col min="10" max="11" width="17.6640625" customWidth="1"/>
    <col min="12" max="12" width="8.5" customWidth="1"/>
    <col min="13" max="13" width="13" customWidth="1"/>
    <col min="14" max="14" width="11.5" customWidth="1"/>
    <col min="15" max="15" width="8.5" customWidth="1"/>
    <col min="17" max="17" width="28.33203125" customWidth="1"/>
  </cols>
  <sheetData>
    <row r="1" spans="1:1" ht="19" x14ac:dyDescent="0.25">
      <c r="A1" s="2" t="s">
        <v>494</v>
      </c>
    </row>
    <row r="2" spans="1:1" ht="19" x14ac:dyDescent="0.25">
      <c r="A2" s="2" t="s">
        <v>431</v>
      </c>
    </row>
    <row r="3" spans="1:1" ht="16" x14ac:dyDescent="0.2">
      <c r="A3" s="3" t="s">
        <v>435</v>
      </c>
    </row>
    <row r="4" spans="1:1" ht="16" x14ac:dyDescent="0.2">
      <c r="A4" s="3" t="s">
        <v>432</v>
      </c>
    </row>
    <row r="5" spans="1:1" ht="16" x14ac:dyDescent="0.2">
      <c r="A5" s="3" t="s">
        <v>433</v>
      </c>
    </row>
    <row r="6" spans="1:1" ht="16" x14ac:dyDescent="0.2">
      <c r="A6" s="3" t="s">
        <v>436</v>
      </c>
    </row>
    <row r="7" spans="1:1" ht="16" x14ac:dyDescent="0.2">
      <c r="A7" s="3" t="s">
        <v>437</v>
      </c>
    </row>
    <row r="8" spans="1:1" ht="16" x14ac:dyDescent="0.2">
      <c r="A8" s="3" t="s">
        <v>438</v>
      </c>
    </row>
    <row r="9" spans="1:1" ht="16" x14ac:dyDescent="0.2">
      <c r="A9" s="3" t="s">
        <v>439</v>
      </c>
    </row>
    <row r="10" spans="1:1" ht="16" x14ac:dyDescent="0.2">
      <c r="A10" s="3" t="s">
        <v>440</v>
      </c>
    </row>
    <row r="11" spans="1:1" ht="16" x14ac:dyDescent="0.2">
      <c r="A11" s="71" t="s">
        <v>493</v>
      </c>
    </row>
    <row r="12" spans="1:1" ht="16" x14ac:dyDescent="0.2">
      <c r="A12" s="3" t="s">
        <v>441</v>
      </c>
    </row>
    <row r="13" spans="1:1" ht="16" x14ac:dyDescent="0.2">
      <c r="A13" s="3" t="s">
        <v>442</v>
      </c>
    </row>
    <row r="14" spans="1:1" ht="16" x14ac:dyDescent="0.2">
      <c r="A14" s="3" t="s">
        <v>443</v>
      </c>
    </row>
    <row r="15" spans="1:1" ht="16" x14ac:dyDescent="0.2">
      <c r="A15" s="3" t="s">
        <v>444</v>
      </c>
    </row>
    <row r="16" spans="1:1" ht="16" x14ac:dyDescent="0.2">
      <c r="A16" s="3" t="s">
        <v>445</v>
      </c>
    </row>
    <row r="17" spans="1:17" ht="16" x14ac:dyDescent="0.2">
      <c r="A17" s="3" t="s">
        <v>446</v>
      </c>
    </row>
    <row r="18" spans="1:17" ht="16" x14ac:dyDescent="0.2">
      <c r="A18" s="4" t="s">
        <v>434</v>
      </c>
    </row>
    <row r="19" spans="1:17" ht="16" x14ac:dyDescent="0.2">
      <c r="A19" s="4" t="s">
        <v>14</v>
      </c>
    </row>
    <row r="20" spans="1:17" s="1" customFormat="1" ht="19" x14ac:dyDescent="0.25">
      <c r="A20" s="5" t="s">
        <v>447</v>
      </c>
    </row>
    <row r="21" spans="1:17" s="8" customFormat="1" ht="24" customHeight="1" x14ac:dyDescent="0.2">
      <c r="A21" s="7" t="s">
        <v>0</v>
      </c>
      <c r="B21" s="7" t="s">
        <v>1</v>
      </c>
      <c r="C21" s="7" t="s">
        <v>2</v>
      </c>
      <c r="D21" s="7" t="s">
        <v>3</v>
      </c>
      <c r="E21" s="7" t="s">
        <v>4</v>
      </c>
      <c r="F21" s="7" t="s">
        <v>5</v>
      </c>
      <c r="G21" s="7" t="s">
        <v>6</v>
      </c>
      <c r="H21" s="7" t="s">
        <v>7</v>
      </c>
      <c r="I21" s="7" t="s">
        <v>8</v>
      </c>
      <c r="J21" s="7" t="s">
        <v>9</v>
      </c>
      <c r="K21" s="7" t="s">
        <v>495</v>
      </c>
      <c r="L21" s="7" t="s">
        <v>10</v>
      </c>
      <c r="M21" s="7" t="s">
        <v>11</v>
      </c>
      <c r="N21" s="7" t="s">
        <v>12</v>
      </c>
      <c r="O21" s="7" t="s">
        <v>13</v>
      </c>
      <c r="P21" s="7" t="s">
        <v>14</v>
      </c>
      <c r="Q21" s="7" t="s">
        <v>15</v>
      </c>
    </row>
    <row r="22" spans="1:17" x14ac:dyDescent="0.2">
      <c r="A22" t="s">
        <v>16</v>
      </c>
      <c r="B22" t="s">
        <v>17</v>
      </c>
      <c r="C22" t="s">
        <v>18</v>
      </c>
      <c r="D22" t="b">
        <v>0</v>
      </c>
      <c r="E22" t="b">
        <v>0</v>
      </c>
      <c r="F22" t="s">
        <v>19</v>
      </c>
      <c r="G22">
        <v>37</v>
      </c>
      <c r="H22" t="s">
        <v>20</v>
      </c>
      <c r="I22" t="s">
        <v>21</v>
      </c>
      <c r="J22">
        <v>39.799999999999997</v>
      </c>
      <c r="K22">
        <f>LOG(J22)</f>
        <v>1.5998830720736879</v>
      </c>
      <c r="M22">
        <v>0.76</v>
      </c>
      <c r="O22" t="s">
        <v>478</v>
      </c>
      <c r="P22">
        <v>1978</v>
      </c>
      <c r="Q22" t="b">
        <v>0</v>
      </c>
    </row>
    <row r="23" spans="1:17" x14ac:dyDescent="0.2">
      <c r="A23" t="s">
        <v>16</v>
      </c>
      <c r="B23" t="s">
        <v>17</v>
      </c>
      <c r="C23" t="s">
        <v>22</v>
      </c>
      <c r="D23" t="b">
        <v>0</v>
      </c>
      <c r="E23" t="b">
        <v>0</v>
      </c>
      <c r="F23" t="s">
        <v>19</v>
      </c>
      <c r="G23">
        <v>20</v>
      </c>
      <c r="H23" t="s">
        <v>20</v>
      </c>
      <c r="I23" t="s">
        <v>23</v>
      </c>
      <c r="J23">
        <v>47</v>
      </c>
      <c r="K23">
        <f t="shared" ref="K23:K86" si="0">LOG(J23)</f>
        <v>1.6720978579357175</v>
      </c>
      <c r="M23">
        <v>0.55000000000000004</v>
      </c>
      <c r="N23" t="s">
        <v>24</v>
      </c>
      <c r="O23" t="s">
        <v>477</v>
      </c>
      <c r="P23">
        <v>1982</v>
      </c>
      <c r="Q23" t="b">
        <v>0</v>
      </c>
    </row>
    <row r="24" spans="1:17" x14ac:dyDescent="0.2">
      <c r="A24" t="s">
        <v>25</v>
      </c>
      <c r="B24" t="s">
        <v>26</v>
      </c>
      <c r="D24" t="b">
        <v>1</v>
      </c>
      <c r="E24" t="b">
        <v>1</v>
      </c>
      <c r="F24" t="s">
        <v>27</v>
      </c>
      <c r="G24">
        <v>15</v>
      </c>
      <c r="H24" t="s">
        <v>28</v>
      </c>
      <c r="I24" t="s">
        <v>29</v>
      </c>
      <c r="J24">
        <v>0.12</v>
      </c>
      <c r="K24">
        <f t="shared" si="0"/>
        <v>-0.92081875395237522</v>
      </c>
      <c r="M24">
        <v>3.5000000000000003E-2</v>
      </c>
      <c r="O24" t="s">
        <v>476</v>
      </c>
      <c r="P24">
        <v>1982</v>
      </c>
      <c r="Q24" t="b">
        <v>0</v>
      </c>
    </row>
    <row r="25" spans="1:17" x14ac:dyDescent="0.2">
      <c r="A25" t="s">
        <v>25</v>
      </c>
      <c r="B25" t="s">
        <v>26</v>
      </c>
      <c r="D25" t="b">
        <v>1</v>
      </c>
      <c r="E25" t="b">
        <v>1</v>
      </c>
      <c r="F25" t="s">
        <v>19</v>
      </c>
      <c r="G25">
        <v>10</v>
      </c>
      <c r="H25" t="s">
        <v>28</v>
      </c>
      <c r="I25" t="s">
        <v>30</v>
      </c>
      <c r="J25">
        <v>0.31</v>
      </c>
      <c r="K25">
        <f t="shared" si="0"/>
        <v>-0.50863830616572736</v>
      </c>
      <c r="M25">
        <v>0.03</v>
      </c>
      <c r="O25" t="s">
        <v>476</v>
      </c>
      <c r="P25">
        <v>1982</v>
      </c>
      <c r="Q25" t="b">
        <v>0</v>
      </c>
    </row>
    <row r="26" spans="1:17" x14ac:dyDescent="0.2">
      <c r="A26" t="s">
        <v>16</v>
      </c>
      <c r="B26" t="s">
        <v>17</v>
      </c>
      <c r="C26" t="s">
        <v>39</v>
      </c>
      <c r="D26" t="b">
        <v>0</v>
      </c>
      <c r="E26" t="b">
        <v>0</v>
      </c>
      <c r="F26" t="s">
        <v>19</v>
      </c>
      <c r="G26">
        <v>37</v>
      </c>
      <c r="H26" t="s">
        <v>491</v>
      </c>
      <c r="I26" t="s">
        <v>41</v>
      </c>
      <c r="J26">
        <v>3</v>
      </c>
      <c r="K26">
        <f t="shared" si="0"/>
        <v>0.47712125471966244</v>
      </c>
      <c r="M26">
        <v>0.46</v>
      </c>
      <c r="O26" t="s">
        <v>42</v>
      </c>
      <c r="P26">
        <v>1977</v>
      </c>
      <c r="Q26" t="b">
        <v>0</v>
      </c>
    </row>
    <row r="27" spans="1:17" x14ac:dyDescent="0.2">
      <c r="A27" t="s">
        <v>43</v>
      </c>
      <c r="B27" t="s">
        <v>17</v>
      </c>
      <c r="C27" t="s">
        <v>44</v>
      </c>
      <c r="D27" t="b">
        <v>0</v>
      </c>
      <c r="E27" t="b">
        <v>0</v>
      </c>
      <c r="F27" t="s">
        <v>19</v>
      </c>
      <c r="G27">
        <v>37</v>
      </c>
      <c r="H27" t="s">
        <v>45</v>
      </c>
      <c r="I27" t="s">
        <v>46</v>
      </c>
      <c r="J27">
        <v>2.6</v>
      </c>
      <c r="K27">
        <f t="shared" si="0"/>
        <v>0.41497334797081797</v>
      </c>
      <c r="L27" t="s">
        <v>47</v>
      </c>
      <c r="M27">
        <v>0.9</v>
      </c>
      <c r="N27" t="s">
        <v>492</v>
      </c>
      <c r="O27" t="s">
        <v>48</v>
      </c>
      <c r="P27">
        <v>2013</v>
      </c>
      <c r="Q27" t="b">
        <v>0</v>
      </c>
    </row>
    <row r="28" spans="1:17" x14ac:dyDescent="0.2">
      <c r="A28" t="s">
        <v>16</v>
      </c>
      <c r="B28" t="s">
        <v>17</v>
      </c>
      <c r="C28" t="s">
        <v>44</v>
      </c>
      <c r="D28" t="b">
        <v>0</v>
      </c>
      <c r="E28" t="b">
        <v>0</v>
      </c>
      <c r="F28" t="s">
        <v>19</v>
      </c>
      <c r="G28">
        <v>37</v>
      </c>
      <c r="H28" t="s">
        <v>49</v>
      </c>
      <c r="I28" t="s">
        <v>50</v>
      </c>
      <c r="J28">
        <v>5</v>
      </c>
      <c r="K28">
        <f t="shared" si="0"/>
        <v>0.69897000433601886</v>
      </c>
      <c r="L28" t="s">
        <v>51</v>
      </c>
      <c r="M28">
        <v>0.9</v>
      </c>
      <c r="N28" t="s">
        <v>52</v>
      </c>
      <c r="O28" t="s">
        <v>48</v>
      </c>
      <c r="P28">
        <v>2013</v>
      </c>
      <c r="Q28" t="b">
        <v>0</v>
      </c>
    </row>
    <row r="29" spans="1:17" x14ac:dyDescent="0.2">
      <c r="A29" t="s">
        <v>31</v>
      </c>
      <c r="B29" t="s">
        <v>53</v>
      </c>
      <c r="D29" t="b">
        <v>1</v>
      </c>
      <c r="E29" t="b">
        <v>1</v>
      </c>
      <c r="F29" t="s">
        <v>33</v>
      </c>
      <c r="G29">
        <v>20</v>
      </c>
      <c r="I29" t="s">
        <v>54</v>
      </c>
      <c r="J29">
        <v>1.7999999999999999E-2</v>
      </c>
      <c r="K29">
        <f t="shared" si="0"/>
        <v>-1.744727494896694</v>
      </c>
      <c r="M29">
        <v>0.05</v>
      </c>
      <c r="O29" t="s">
        <v>55</v>
      </c>
      <c r="P29">
        <v>1979</v>
      </c>
      <c r="Q29" t="b">
        <v>0</v>
      </c>
    </row>
    <row r="30" spans="1:17" x14ac:dyDescent="0.2">
      <c r="A30" t="s">
        <v>16</v>
      </c>
      <c r="B30" t="s">
        <v>56</v>
      </c>
      <c r="D30" t="b">
        <v>0</v>
      </c>
      <c r="E30" t="b">
        <v>1</v>
      </c>
      <c r="F30" t="s">
        <v>33</v>
      </c>
      <c r="G30">
        <v>35</v>
      </c>
      <c r="H30" t="s">
        <v>57</v>
      </c>
      <c r="I30" t="s">
        <v>58</v>
      </c>
      <c r="J30">
        <v>49</v>
      </c>
      <c r="K30">
        <f t="shared" si="0"/>
        <v>1.6901960800285136</v>
      </c>
      <c r="M30">
        <v>0.51</v>
      </c>
      <c r="O30" t="s">
        <v>59</v>
      </c>
      <c r="P30">
        <v>1966</v>
      </c>
      <c r="Q30" t="b">
        <v>0</v>
      </c>
    </row>
    <row r="31" spans="1:17" x14ac:dyDescent="0.2">
      <c r="A31" t="s">
        <v>16</v>
      </c>
      <c r="B31" t="s">
        <v>17</v>
      </c>
      <c r="C31" t="s">
        <v>60</v>
      </c>
      <c r="D31" t="b">
        <v>0</v>
      </c>
      <c r="E31" t="b">
        <v>0</v>
      </c>
      <c r="F31" t="s">
        <v>33</v>
      </c>
      <c r="G31">
        <v>37</v>
      </c>
      <c r="H31" t="s">
        <v>20</v>
      </c>
      <c r="I31" t="s">
        <v>61</v>
      </c>
      <c r="J31">
        <v>0.18</v>
      </c>
      <c r="K31">
        <f t="shared" si="0"/>
        <v>-0.74472749489669399</v>
      </c>
      <c r="M31">
        <v>0.76</v>
      </c>
      <c r="O31" t="s">
        <v>62</v>
      </c>
      <c r="P31">
        <v>1985</v>
      </c>
      <c r="Q31" t="b">
        <v>0</v>
      </c>
    </row>
    <row r="32" spans="1:17" x14ac:dyDescent="0.2">
      <c r="A32" t="s">
        <v>16</v>
      </c>
      <c r="B32" t="s">
        <v>17</v>
      </c>
      <c r="C32" t="s">
        <v>60</v>
      </c>
      <c r="D32" t="b">
        <v>0</v>
      </c>
      <c r="E32" t="b">
        <v>0</v>
      </c>
      <c r="F32" t="s">
        <v>33</v>
      </c>
      <c r="G32">
        <v>28.4</v>
      </c>
      <c r="H32" t="s">
        <v>20</v>
      </c>
      <c r="I32" t="s">
        <v>61</v>
      </c>
      <c r="J32">
        <v>0.18</v>
      </c>
      <c r="K32">
        <f t="shared" si="0"/>
        <v>-0.74472749489669399</v>
      </c>
      <c r="M32">
        <v>0.54</v>
      </c>
      <c r="O32" t="s">
        <v>62</v>
      </c>
      <c r="P32">
        <v>1985</v>
      </c>
      <c r="Q32" t="b">
        <v>0</v>
      </c>
    </row>
    <row r="33" spans="1:17" x14ac:dyDescent="0.2">
      <c r="A33" t="s">
        <v>16</v>
      </c>
      <c r="B33" t="s">
        <v>17</v>
      </c>
      <c r="C33" t="s">
        <v>60</v>
      </c>
      <c r="D33" t="b">
        <v>0</v>
      </c>
      <c r="E33" t="b">
        <v>0</v>
      </c>
      <c r="F33" t="s">
        <v>33</v>
      </c>
      <c r="G33">
        <v>17.399999999999999</v>
      </c>
      <c r="H33" t="s">
        <v>20</v>
      </c>
      <c r="I33" t="s">
        <v>61</v>
      </c>
      <c r="J33">
        <v>0.18</v>
      </c>
      <c r="K33">
        <f t="shared" si="0"/>
        <v>-0.74472749489669399</v>
      </c>
      <c r="M33">
        <v>0.19</v>
      </c>
      <c r="O33" t="s">
        <v>62</v>
      </c>
      <c r="P33">
        <v>1985</v>
      </c>
      <c r="Q33" t="b">
        <v>0</v>
      </c>
    </row>
    <row r="34" spans="1:17" x14ac:dyDescent="0.2">
      <c r="A34" t="s">
        <v>63</v>
      </c>
      <c r="B34" t="s">
        <v>64</v>
      </c>
      <c r="D34" t="b">
        <v>0</v>
      </c>
      <c r="E34" t="b">
        <v>1</v>
      </c>
      <c r="F34" t="s">
        <v>33</v>
      </c>
      <c r="G34">
        <v>25</v>
      </c>
      <c r="H34" t="s">
        <v>65</v>
      </c>
      <c r="I34" t="s">
        <v>66</v>
      </c>
      <c r="J34">
        <v>4.7E-7</v>
      </c>
      <c r="K34">
        <f t="shared" si="0"/>
        <v>-6.3279021420642829</v>
      </c>
      <c r="M34">
        <v>0.27</v>
      </c>
      <c r="O34" t="s">
        <v>67</v>
      </c>
      <c r="P34">
        <v>1969</v>
      </c>
      <c r="Q34" t="b">
        <v>0</v>
      </c>
    </row>
    <row r="35" spans="1:17" x14ac:dyDescent="0.2">
      <c r="A35" t="s">
        <v>31</v>
      </c>
      <c r="B35" t="s">
        <v>68</v>
      </c>
      <c r="D35" t="b">
        <v>0</v>
      </c>
      <c r="E35" t="b">
        <v>1</v>
      </c>
      <c r="F35" t="s">
        <v>33</v>
      </c>
      <c r="I35" t="s">
        <v>69</v>
      </c>
      <c r="J35">
        <v>0.01</v>
      </c>
      <c r="K35">
        <f t="shared" si="0"/>
        <v>-2</v>
      </c>
      <c r="M35">
        <v>0.18</v>
      </c>
      <c r="O35" t="s">
        <v>70</v>
      </c>
      <c r="P35">
        <v>1973</v>
      </c>
      <c r="Q35" t="b">
        <v>0</v>
      </c>
    </row>
    <row r="36" spans="1:17" x14ac:dyDescent="0.2">
      <c r="A36" t="s">
        <v>71</v>
      </c>
      <c r="B36" t="s">
        <v>72</v>
      </c>
      <c r="D36" t="b">
        <v>1</v>
      </c>
      <c r="E36" t="b">
        <v>1</v>
      </c>
      <c r="F36" t="s">
        <v>33</v>
      </c>
      <c r="I36" t="s">
        <v>73</v>
      </c>
      <c r="J36">
        <v>0.3</v>
      </c>
      <c r="K36">
        <f t="shared" si="0"/>
        <v>-0.52287874528033762</v>
      </c>
      <c r="N36" t="s">
        <v>74</v>
      </c>
      <c r="O36" t="s">
        <v>75</v>
      </c>
      <c r="P36">
        <v>1968</v>
      </c>
      <c r="Q36" t="b">
        <v>0</v>
      </c>
    </row>
    <row r="37" spans="1:17" x14ac:dyDescent="0.2">
      <c r="A37" t="s">
        <v>76</v>
      </c>
      <c r="B37" t="s">
        <v>77</v>
      </c>
      <c r="C37" t="s">
        <v>78</v>
      </c>
      <c r="D37" t="b">
        <v>0</v>
      </c>
      <c r="E37" t="b">
        <v>0</v>
      </c>
      <c r="F37" t="s">
        <v>33</v>
      </c>
      <c r="G37">
        <v>40</v>
      </c>
      <c r="I37" t="s">
        <v>79</v>
      </c>
      <c r="J37">
        <v>23</v>
      </c>
      <c r="K37">
        <f t="shared" si="0"/>
        <v>1.3617278360175928</v>
      </c>
      <c r="M37">
        <v>0.75</v>
      </c>
      <c r="O37" t="s">
        <v>80</v>
      </c>
      <c r="P37">
        <v>1967</v>
      </c>
      <c r="Q37" t="b">
        <v>0</v>
      </c>
    </row>
    <row r="38" spans="1:17" x14ac:dyDescent="0.2">
      <c r="A38" t="s">
        <v>81</v>
      </c>
      <c r="B38" t="s">
        <v>77</v>
      </c>
      <c r="C38" t="s">
        <v>78</v>
      </c>
      <c r="D38" t="b">
        <v>0</v>
      </c>
      <c r="E38" t="b">
        <v>0</v>
      </c>
      <c r="F38" t="s">
        <v>33</v>
      </c>
      <c r="G38">
        <v>40</v>
      </c>
      <c r="I38" t="s">
        <v>82</v>
      </c>
      <c r="J38">
        <v>10</v>
      </c>
      <c r="K38">
        <f t="shared" si="0"/>
        <v>1</v>
      </c>
      <c r="M38">
        <v>0.75</v>
      </c>
      <c r="O38" t="s">
        <v>80</v>
      </c>
      <c r="P38">
        <v>1967</v>
      </c>
      <c r="Q38" t="b">
        <v>0</v>
      </c>
    </row>
    <row r="39" spans="1:17" x14ac:dyDescent="0.2">
      <c r="A39" t="s">
        <v>83</v>
      </c>
      <c r="B39" t="s">
        <v>77</v>
      </c>
      <c r="C39" t="s">
        <v>78</v>
      </c>
      <c r="D39" t="b">
        <v>0</v>
      </c>
      <c r="E39" t="b">
        <v>0</v>
      </c>
      <c r="F39" t="s">
        <v>33</v>
      </c>
      <c r="I39" t="s">
        <v>84</v>
      </c>
      <c r="J39">
        <v>2.8</v>
      </c>
      <c r="K39">
        <f t="shared" si="0"/>
        <v>0.44715803134221921</v>
      </c>
      <c r="M39">
        <v>0.75</v>
      </c>
      <c r="O39" t="s">
        <v>80</v>
      </c>
      <c r="P39">
        <v>1967</v>
      </c>
      <c r="Q39" t="b">
        <v>0</v>
      </c>
    </row>
    <row r="40" spans="1:17" x14ac:dyDescent="0.2">
      <c r="A40" t="s">
        <v>16</v>
      </c>
      <c r="B40" t="s">
        <v>17</v>
      </c>
      <c r="C40" t="s">
        <v>85</v>
      </c>
      <c r="D40" t="b">
        <v>0</v>
      </c>
      <c r="E40" t="b">
        <v>0</v>
      </c>
      <c r="F40" t="s">
        <v>19</v>
      </c>
      <c r="G40">
        <v>26</v>
      </c>
      <c r="H40" t="s">
        <v>20</v>
      </c>
      <c r="I40" t="s">
        <v>86</v>
      </c>
      <c r="J40">
        <v>13</v>
      </c>
      <c r="K40">
        <f t="shared" si="0"/>
        <v>1.1139433523068367</v>
      </c>
      <c r="M40">
        <v>0.55000000000000004</v>
      </c>
      <c r="O40" t="s">
        <v>87</v>
      </c>
      <c r="P40">
        <v>1993</v>
      </c>
      <c r="Q40" t="b">
        <v>0</v>
      </c>
    </row>
    <row r="41" spans="1:17" x14ac:dyDescent="0.2">
      <c r="A41" t="s">
        <v>88</v>
      </c>
      <c r="B41" t="s">
        <v>89</v>
      </c>
      <c r="D41" t="b">
        <v>1</v>
      </c>
      <c r="E41" t="b">
        <v>1</v>
      </c>
      <c r="F41" t="s">
        <v>33</v>
      </c>
      <c r="I41" t="s">
        <v>90</v>
      </c>
      <c r="J41">
        <v>9.9999999999999995E-8</v>
      </c>
      <c r="K41">
        <f t="shared" si="0"/>
        <v>-7</v>
      </c>
      <c r="O41" t="s">
        <v>91</v>
      </c>
      <c r="P41">
        <v>1974</v>
      </c>
      <c r="Q41" t="b">
        <v>0</v>
      </c>
    </row>
    <row r="42" spans="1:17" x14ac:dyDescent="0.2">
      <c r="A42" t="s">
        <v>92</v>
      </c>
      <c r="B42" t="s">
        <v>17</v>
      </c>
      <c r="C42">
        <v>322</v>
      </c>
      <c r="D42" t="b">
        <v>0</v>
      </c>
      <c r="E42" t="b">
        <v>0</v>
      </c>
      <c r="F42" t="s">
        <v>33</v>
      </c>
      <c r="G42">
        <v>37</v>
      </c>
      <c r="H42" t="s">
        <v>20</v>
      </c>
      <c r="I42" t="s">
        <v>93</v>
      </c>
      <c r="J42">
        <v>59</v>
      </c>
      <c r="K42">
        <f t="shared" si="0"/>
        <v>1.7708520116421442</v>
      </c>
      <c r="M42">
        <v>0.89</v>
      </c>
      <c r="O42" t="s">
        <v>94</v>
      </c>
      <c r="P42">
        <v>1980</v>
      </c>
      <c r="Q42" t="b">
        <v>0</v>
      </c>
    </row>
    <row r="43" spans="1:17" x14ac:dyDescent="0.2">
      <c r="A43" t="s">
        <v>92</v>
      </c>
      <c r="B43" t="s">
        <v>17</v>
      </c>
      <c r="C43">
        <v>323</v>
      </c>
      <c r="D43" t="b">
        <v>0</v>
      </c>
      <c r="E43" t="b">
        <v>0</v>
      </c>
      <c r="F43" t="s">
        <v>33</v>
      </c>
      <c r="G43">
        <v>37</v>
      </c>
      <c r="H43" t="s">
        <v>20</v>
      </c>
      <c r="I43" t="s">
        <v>95</v>
      </c>
      <c r="J43">
        <v>59.5</v>
      </c>
      <c r="K43">
        <f t="shared" si="0"/>
        <v>1.7745169657285496</v>
      </c>
      <c r="M43">
        <v>0.8</v>
      </c>
      <c r="O43" t="s">
        <v>94</v>
      </c>
      <c r="P43">
        <v>1980</v>
      </c>
      <c r="Q43" t="b">
        <v>0</v>
      </c>
    </row>
    <row r="44" spans="1:17" x14ac:dyDescent="0.2">
      <c r="A44" t="s">
        <v>92</v>
      </c>
      <c r="B44" t="s">
        <v>17</v>
      </c>
      <c r="C44">
        <v>372</v>
      </c>
      <c r="D44" t="b">
        <v>0</v>
      </c>
      <c r="E44" t="b">
        <v>0</v>
      </c>
      <c r="F44" t="s">
        <v>33</v>
      </c>
      <c r="G44">
        <v>37</v>
      </c>
      <c r="H44" t="s">
        <v>20</v>
      </c>
      <c r="I44" t="s">
        <v>96</v>
      </c>
      <c r="J44">
        <v>34</v>
      </c>
      <c r="K44">
        <f t="shared" si="0"/>
        <v>1.5314789170422551</v>
      </c>
      <c r="M44">
        <v>0.77</v>
      </c>
      <c r="O44" t="s">
        <v>94</v>
      </c>
      <c r="P44">
        <v>1980</v>
      </c>
      <c r="Q44" t="b">
        <v>0</v>
      </c>
    </row>
    <row r="45" spans="1:17" x14ac:dyDescent="0.2">
      <c r="A45" t="s">
        <v>97</v>
      </c>
      <c r="B45" t="s">
        <v>17</v>
      </c>
      <c r="C45" t="s">
        <v>98</v>
      </c>
      <c r="D45" t="b">
        <v>0</v>
      </c>
      <c r="E45" t="b">
        <v>0</v>
      </c>
      <c r="F45" t="s">
        <v>33</v>
      </c>
      <c r="G45">
        <v>37</v>
      </c>
      <c r="H45" t="s">
        <v>20</v>
      </c>
      <c r="I45" t="s">
        <v>99</v>
      </c>
      <c r="J45">
        <v>25</v>
      </c>
      <c r="K45">
        <f t="shared" si="0"/>
        <v>1.3979400086720377</v>
      </c>
      <c r="M45">
        <v>0.76</v>
      </c>
      <c r="O45" t="s">
        <v>94</v>
      </c>
      <c r="P45">
        <v>1980</v>
      </c>
      <c r="Q45" t="b">
        <v>0</v>
      </c>
    </row>
    <row r="46" spans="1:17" x14ac:dyDescent="0.2">
      <c r="A46" t="s">
        <v>31</v>
      </c>
      <c r="B46" t="s">
        <v>17</v>
      </c>
      <c r="D46" t="b">
        <v>0</v>
      </c>
      <c r="E46" t="b">
        <v>0</v>
      </c>
      <c r="F46" t="s">
        <v>19</v>
      </c>
      <c r="I46" t="s">
        <v>100</v>
      </c>
      <c r="J46">
        <v>2</v>
      </c>
      <c r="K46">
        <f t="shared" si="0"/>
        <v>0.3010299956639812</v>
      </c>
      <c r="M46">
        <v>0.92</v>
      </c>
      <c r="O46" t="s">
        <v>101</v>
      </c>
      <c r="P46">
        <v>1979</v>
      </c>
      <c r="Q46" t="b">
        <v>0</v>
      </c>
    </row>
    <row r="47" spans="1:17" x14ac:dyDescent="0.2">
      <c r="A47" t="s">
        <v>102</v>
      </c>
      <c r="B47" t="s">
        <v>103</v>
      </c>
      <c r="C47" t="s">
        <v>104</v>
      </c>
      <c r="D47" t="b">
        <v>0</v>
      </c>
      <c r="E47" t="b">
        <v>0</v>
      </c>
      <c r="F47" t="s">
        <v>33</v>
      </c>
      <c r="G47">
        <v>37</v>
      </c>
      <c r="H47" t="s">
        <v>20</v>
      </c>
      <c r="I47" t="s">
        <v>105</v>
      </c>
      <c r="J47">
        <v>135</v>
      </c>
      <c r="K47">
        <f t="shared" si="0"/>
        <v>2.1303337684950061</v>
      </c>
      <c r="O47" t="s">
        <v>106</v>
      </c>
      <c r="P47">
        <v>1956</v>
      </c>
      <c r="Q47" t="b">
        <v>0</v>
      </c>
    </row>
    <row r="48" spans="1:17" x14ac:dyDescent="0.2">
      <c r="A48" t="s">
        <v>16</v>
      </c>
      <c r="B48" t="s">
        <v>17</v>
      </c>
      <c r="D48" t="b">
        <v>0</v>
      </c>
      <c r="E48" t="b">
        <v>0</v>
      </c>
      <c r="F48" t="s">
        <v>107</v>
      </c>
      <c r="G48">
        <v>20</v>
      </c>
      <c r="H48" t="s">
        <v>20</v>
      </c>
      <c r="I48" t="s">
        <v>108</v>
      </c>
      <c r="J48">
        <v>44</v>
      </c>
      <c r="K48">
        <f t="shared" si="0"/>
        <v>1.6434526764861874</v>
      </c>
      <c r="M48">
        <v>0.65</v>
      </c>
      <c r="N48" t="s">
        <v>109</v>
      </c>
      <c r="O48" t="s">
        <v>110</v>
      </c>
      <c r="P48">
        <v>1968</v>
      </c>
      <c r="Q48" t="b">
        <v>0</v>
      </c>
    </row>
    <row r="49" spans="1:17" x14ac:dyDescent="0.2">
      <c r="A49" t="s">
        <v>16</v>
      </c>
      <c r="B49" t="s">
        <v>111</v>
      </c>
      <c r="C49">
        <v>208</v>
      </c>
      <c r="D49" t="b">
        <v>0</v>
      </c>
      <c r="E49" t="b">
        <v>0</v>
      </c>
      <c r="F49" t="s">
        <v>107</v>
      </c>
      <c r="G49">
        <v>20</v>
      </c>
      <c r="H49" t="s">
        <v>112</v>
      </c>
      <c r="I49" t="s">
        <v>113</v>
      </c>
      <c r="J49">
        <v>30</v>
      </c>
      <c r="K49">
        <f t="shared" si="0"/>
        <v>1.4771212547196624</v>
      </c>
      <c r="M49">
        <v>0.35</v>
      </c>
      <c r="O49" t="s">
        <v>114</v>
      </c>
      <c r="P49">
        <v>1968</v>
      </c>
      <c r="Q49" t="b">
        <v>0</v>
      </c>
    </row>
    <row r="50" spans="1:17" x14ac:dyDescent="0.2">
      <c r="A50" t="s">
        <v>16</v>
      </c>
      <c r="B50" t="s">
        <v>115</v>
      </c>
      <c r="C50">
        <v>204</v>
      </c>
      <c r="D50" t="b">
        <v>0</v>
      </c>
      <c r="E50" t="b">
        <v>0</v>
      </c>
      <c r="F50" t="s">
        <v>107</v>
      </c>
      <c r="G50">
        <v>20</v>
      </c>
      <c r="H50" t="s">
        <v>112</v>
      </c>
      <c r="I50" t="s">
        <v>116</v>
      </c>
      <c r="J50">
        <v>55</v>
      </c>
      <c r="K50">
        <f t="shared" si="0"/>
        <v>1.7403626894942439</v>
      </c>
      <c r="L50" t="s">
        <v>117</v>
      </c>
      <c r="M50">
        <v>0.4</v>
      </c>
      <c r="O50" t="s">
        <v>114</v>
      </c>
      <c r="P50">
        <v>1968</v>
      </c>
      <c r="Q50" t="b">
        <v>0</v>
      </c>
    </row>
    <row r="51" spans="1:17" x14ac:dyDescent="0.2">
      <c r="A51" t="s">
        <v>16</v>
      </c>
      <c r="B51" t="s">
        <v>118</v>
      </c>
      <c r="C51">
        <v>201</v>
      </c>
      <c r="D51" t="b">
        <v>0</v>
      </c>
      <c r="E51" t="b">
        <v>0</v>
      </c>
      <c r="F51" t="s">
        <v>107</v>
      </c>
      <c r="G51">
        <v>20</v>
      </c>
      <c r="H51" t="s">
        <v>112</v>
      </c>
      <c r="I51" t="s">
        <v>119</v>
      </c>
      <c r="J51">
        <v>105</v>
      </c>
      <c r="K51">
        <f t="shared" si="0"/>
        <v>2.0211892990699383</v>
      </c>
      <c r="L51" t="s">
        <v>117</v>
      </c>
      <c r="M51">
        <v>0.95</v>
      </c>
      <c r="O51" t="s">
        <v>114</v>
      </c>
      <c r="P51">
        <v>1968</v>
      </c>
      <c r="Q51" t="b">
        <v>0</v>
      </c>
    </row>
    <row r="52" spans="1:17" x14ac:dyDescent="0.2">
      <c r="A52" t="s">
        <v>16</v>
      </c>
      <c r="B52" t="s">
        <v>111</v>
      </c>
      <c r="C52">
        <v>208</v>
      </c>
      <c r="D52" t="b">
        <v>0</v>
      </c>
      <c r="E52" t="b">
        <v>0</v>
      </c>
      <c r="F52" t="s">
        <v>107</v>
      </c>
      <c r="G52">
        <v>20</v>
      </c>
      <c r="H52" t="s">
        <v>112</v>
      </c>
      <c r="I52" t="s">
        <v>120</v>
      </c>
      <c r="J52">
        <v>120</v>
      </c>
      <c r="K52">
        <f t="shared" si="0"/>
        <v>2.0791812460476247</v>
      </c>
      <c r="M52">
        <v>0.9</v>
      </c>
      <c r="N52" t="s">
        <v>121</v>
      </c>
      <c r="O52" t="s">
        <v>114</v>
      </c>
      <c r="P52">
        <v>1968</v>
      </c>
      <c r="Q52" t="b">
        <v>0</v>
      </c>
    </row>
    <row r="53" spans="1:17" x14ac:dyDescent="0.2">
      <c r="A53" t="s">
        <v>16</v>
      </c>
      <c r="B53" t="s">
        <v>118</v>
      </c>
      <c r="C53">
        <v>201</v>
      </c>
      <c r="D53" t="b">
        <v>0</v>
      </c>
      <c r="E53" t="b">
        <v>0</v>
      </c>
      <c r="F53" t="s">
        <v>107</v>
      </c>
      <c r="G53">
        <v>20</v>
      </c>
      <c r="H53" t="s">
        <v>112</v>
      </c>
      <c r="I53" t="s">
        <v>122</v>
      </c>
      <c r="J53">
        <v>180</v>
      </c>
      <c r="K53">
        <f t="shared" si="0"/>
        <v>2.255272505103306</v>
      </c>
      <c r="M53">
        <v>1.6</v>
      </c>
      <c r="N53" t="s">
        <v>121</v>
      </c>
      <c r="O53" t="s">
        <v>114</v>
      </c>
      <c r="P53">
        <v>1968</v>
      </c>
      <c r="Q53" t="b">
        <v>0</v>
      </c>
    </row>
    <row r="54" spans="1:17" x14ac:dyDescent="0.2">
      <c r="A54" t="s">
        <v>123</v>
      </c>
      <c r="B54" t="s">
        <v>111</v>
      </c>
      <c r="C54">
        <v>208</v>
      </c>
      <c r="D54" t="b">
        <v>0</v>
      </c>
      <c r="E54" t="b">
        <v>0</v>
      </c>
      <c r="F54" t="s">
        <v>107</v>
      </c>
      <c r="G54">
        <v>20</v>
      </c>
      <c r="H54" t="s">
        <v>112</v>
      </c>
      <c r="I54" t="s">
        <v>124</v>
      </c>
      <c r="J54">
        <v>10</v>
      </c>
      <c r="K54">
        <f t="shared" si="0"/>
        <v>1</v>
      </c>
      <c r="M54">
        <v>0.15</v>
      </c>
      <c r="O54" t="s">
        <v>114</v>
      </c>
      <c r="P54">
        <v>1968</v>
      </c>
      <c r="Q54" t="b">
        <v>0</v>
      </c>
    </row>
    <row r="55" spans="1:17" x14ac:dyDescent="0.2">
      <c r="A55" t="s">
        <v>123</v>
      </c>
      <c r="B55" t="s">
        <v>115</v>
      </c>
      <c r="C55">
        <v>204</v>
      </c>
      <c r="D55" t="b">
        <v>0</v>
      </c>
      <c r="E55" t="b">
        <v>0</v>
      </c>
      <c r="F55" t="s">
        <v>107</v>
      </c>
      <c r="G55">
        <v>20</v>
      </c>
      <c r="H55" t="s">
        <v>112</v>
      </c>
      <c r="I55" t="s">
        <v>125</v>
      </c>
      <c r="J55">
        <v>8</v>
      </c>
      <c r="K55">
        <f t="shared" si="0"/>
        <v>0.90308998699194354</v>
      </c>
      <c r="L55" t="s">
        <v>117</v>
      </c>
      <c r="M55">
        <v>0.15</v>
      </c>
      <c r="O55" t="s">
        <v>114</v>
      </c>
      <c r="P55">
        <v>1968</v>
      </c>
      <c r="Q55" t="b">
        <v>0</v>
      </c>
    </row>
    <row r="56" spans="1:17" x14ac:dyDescent="0.2">
      <c r="A56" t="s">
        <v>123</v>
      </c>
      <c r="B56" t="s">
        <v>126</v>
      </c>
      <c r="C56">
        <v>101</v>
      </c>
      <c r="D56" t="b">
        <v>0</v>
      </c>
      <c r="E56" t="b">
        <v>0</v>
      </c>
      <c r="F56" t="s">
        <v>107</v>
      </c>
      <c r="G56">
        <v>20</v>
      </c>
      <c r="H56" t="s">
        <v>112</v>
      </c>
      <c r="I56" t="s">
        <v>127</v>
      </c>
      <c r="J56">
        <v>30</v>
      </c>
      <c r="K56">
        <f t="shared" si="0"/>
        <v>1.4771212547196624</v>
      </c>
      <c r="L56" t="s">
        <v>117</v>
      </c>
      <c r="M56">
        <v>0.45</v>
      </c>
      <c r="O56" t="s">
        <v>114</v>
      </c>
      <c r="P56">
        <v>1968</v>
      </c>
      <c r="Q56" t="b">
        <v>0</v>
      </c>
    </row>
    <row r="57" spans="1:17" x14ac:dyDescent="0.2">
      <c r="A57" t="s">
        <v>123</v>
      </c>
      <c r="B57" t="s">
        <v>118</v>
      </c>
      <c r="C57">
        <v>201</v>
      </c>
      <c r="D57" t="b">
        <v>0</v>
      </c>
      <c r="E57" t="b">
        <v>0</v>
      </c>
      <c r="F57" t="s">
        <v>107</v>
      </c>
      <c r="G57">
        <v>20</v>
      </c>
      <c r="H57" t="s">
        <v>112</v>
      </c>
      <c r="I57" t="s">
        <v>128</v>
      </c>
      <c r="J57">
        <v>90</v>
      </c>
      <c r="K57">
        <f t="shared" si="0"/>
        <v>1.954242509439325</v>
      </c>
      <c r="L57" t="s">
        <v>117</v>
      </c>
      <c r="M57">
        <v>0.8</v>
      </c>
      <c r="O57" t="s">
        <v>114</v>
      </c>
      <c r="P57">
        <v>1968</v>
      </c>
      <c r="Q57" t="b">
        <v>0</v>
      </c>
    </row>
    <row r="58" spans="1:17" x14ac:dyDescent="0.2">
      <c r="A58" t="s">
        <v>123</v>
      </c>
      <c r="B58" t="s">
        <v>111</v>
      </c>
      <c r="C58">
        <v>208</v>
      </c>
      <c r="D58" t="b">
        <v>0</v>
      </c>
      <c r="E58" t="b">
        <v>0</v>
      </c>
      <c r="F58" t="s">
        <v>107</v>
      </c>
      <c r="G58">
        <v>20</v>
      </c>
      <c r="H58" t="s">
        <v>112</v>
      </c>
      <c r="I58" t="s">
        <v>129</v>
      </c>
      <c r="J58">
        <v>50</v>
      </c>
      <c r="K58">
        <f t="shared" si="0"/>
        <v>1.6989700043360187</v>
      </c>
      <c r="L58" t="s">
        <v>117</v>
      </c>
      <c r="M58">
        <v>0.4</v>
      </c>
      <c r="N58" t="s">
        <v>121</v>
      </c>
      <c r="O58" t="s">
        <v>114</v>
      </c>
      <c r="P58">
        <v>1968</v>
      </c>
      <c r="Q58" t="b">
        <v>0</v>
      </c>
    </row>
    <row r="59" spans="1:17" x14ac:dyDescent="0.2">
      <c r="A59" t="s">
        <v>123</v>
      </c>
      <c r="B59" t="s">
        <v>115</v>
      </c>
      <c r="C59">
        <v>204</v>
      </c>
      <c r="D59" t="b">
        <v>0</v>
      </c>
      <c r="E59" t="b">
        <v>0</v>
      </c>
      <c r="F59" t="s">
        <v>107</v>
      </c>
      <c r="G59">
        <v>20</v>
      </c>
      <c r="H59" t="s">
        <v>112</v>
      </c>
      <c r="I59" t="s">
        <v>130</v>
      </c>
      <c r="J59">
        <v>95</v>
      </c>
      <c r="K59">
        <f t="shared" si="0"/>
        <v>1.9777236052888478</v>
      </c>
      <c r="L59" t="s">
        <v>117</v>
      </c>
      <c r="M59">
        <v>0.8</v>
      </c>
      <c r="N59" t="s">
        <v>121</v>
      </c>
      <c r="O59" t="s">
        <v>114</v>
      </c>
      <c r="P59">
        <v>1968</v>
      </c>
      <c r="Q59" t="b">
        <v>0</v>
      </c>
    </row>
    <row r="60" spans="1:17" x14ac:dyDescent="0.2">
      <c r="A60" t="s">
        <v>123</v>
      </c>
      <c r="B60" t="s">
        <v>126</v>
      </c>
      <c r="C60">
        <v>101</v>
      </c>
      <c r="D60" t="b">
        <v>0</v>
      </c>
      <c r="E60" t="b">
        <v>0</v>
      </c>
      <c r="F60" t="s">
        <v>107</v>
      </c>
      <c r="G60">
        <v>20</v>
      </c>
      <c r="H60" t="s">
        <v>112</v>
      </c>
      <c r="I60" t="s">
        <v>131</v>
      </c>
      <c r="J60">
        <v>120</v>
      </c>
      <c r="K60">
        <f t="shared" si="0"/>
        <v>2.0791812460476247</v>
      </c>
      <c r="L60" t="s">
        <v>117</v>
      </c>
      <c r="M60">
        <v>1.1000000000000001</v>
      </c>
      <c r="N60" t="s">
        <v>121</v>
      </c>
      <c r="O60" t="s">
        <v>114</v>
      </c>
      <c r="P60">
        <v>1968</v>
      </c>
      <c r="Q60" t="b">
        <v>0</v>
      </c>
    </row>
    <row r="61" spans="1:17" x14ac:dyDescent="0.2">
      <c r="A61" t="s">
        <v>123</v>
      </c>
      <c r="B61" t="s">
        <v>118</v>
      </c>
      <c r="C61">
        <v>201</v>
      </c>
      <c r="D61" t="b">
        <v>0</v>
      </c>
      <c r="E61" t="b">
        <v>0</v>
      </c>
      <c r="F61" t="s">
        <v>107</v>
      </c>
      <c r="G61">
        <v>20</v>
      </c>
      <c r="H61" t="s">
        <v>112</v>
      </c>
      <c r="I61" t="s">
        <v>132</v>
      </c>
      <c r="J61">
        <v>150</v>
      </c>
      <c r="K61">
        <f t="shared" si="0"/>
        <v>2.1760912590556813</v>
      </c>
      <c r="L61" t="s">
        <v>117</v>
      </c>
      <c r="M61">
        <v>1.4</v>
      </c>
      <c r="N61" t="s">
        <v>121</v>
      </c>
      <c r="O61" t="s">
        <v>114</v>
      </c>
      <c r="P61">
        <v>1968</v>
      </c>
      <c r="Q61" t="b">
        <v>0</v>
      </c>
    </row>
    <row r="62" spans="1:17" x14ac:dyDescent="0.2">
      <c r="A62" t="s">
        <v>16</v>
      </c>
      <c r="B62" t="s">
        <v>133</v>
      </c>
      <c r="C62">
        <v>10558</v>
      </c>
      <c r="D62" t="b">
        <v>0</v>
      </c>
      <c r="E62" t="b">
        <v>0</v>
      </c>
      <c r="F62" t="s">
        <v>33</v>
      </c>
      <c r="G62">
        <v>37</v>
      </c>
      <c r="H62" t="s">
        <v>134</v>
      </c>
      <c r="I62" t="s">
        <v>135</v>
      </c>
      <c r="J62">
        <v>111</v>
      </c>
      <c r="K62">
        <f t="shared" si="0"/>
        <v>2.0453229787866576</v>
      </c>
      <c r="M62">
        <v>0.84</v>
      </c>
      <c r="O62" t="s">
        <v>136</v>
      </c>
      <c r="P62">
        <v>1983</v>
      </c>
      <c r="Q62" t="b">
        <v>0</v>
      </c>
    </row>
    <row r="63" spans="1:17" x14ac:dyDescent="0.2">
      <c r="A63" t="s">
        <v>16</v>
      </c>
      <c r="B63" t="s">
        <v>133</v>
      </c>
      <c r="C63">
        <v>10558</v>
      </c>
      <c r="D63" t="b">
        <v>0</v>
      </c>
      <c r="E63" t="b">
        <v>0</v>
      </c>
      <c r="F63" t="s">
        <v>19</v>
      </c>
      <c r="G63">
        <v>37</v>
      </c>
      <c r="H63" t="s">
        <v>134</v>
      </c>
      <c r="I63" t="s">
        <v>137</v>
      </c>
      <c r="J63">
        <v>327</v>
      </c>
      <c r="K63">
        <f t="shared" si="0"/>
        <v>2.514547752660286</v>
      </c>
      <c r="M63">
        <v>0.83</v>
      </c>
      <c r="O63" t="s">
        <v>136</v>
      </c>
      <c r="P63">
        <v>1983</v>
      </c>
      <c r="Q63" t="b">
        <v>0</v>
      </c>
    </row>
    <row r="64" spans="1:17" x14ac:dyDescent="0.2">
      <c r="A64" t="s">
        <v>16</v>
      </c>
      <c r="B64" t="s">
        <v>138</v>
      </c>
      <c r="C64" t="s">
        <v>139</v>
      </c>
      <c r="D64" t="b">
        <v>0</v>
      </c>
      <c r="E64" t="b">
        <v>0</v>
      </c>
      <c r="F64" t="s">
        <v>140</v>
      </c>
      <c r="H64" t="s">
        <v>134</v>
      </c>
      <c r="I64" t="s">
        <v>141</v>
      </c>
      <c r="J64">
        <v>1583</v>
      </c>
      <c r="K64">
        <f t="shared" si="0"/>
        <v>3.199480914862356</v>
      </c>
      <c r="M64">
        <v>1.2</v>
      </c>
      <c r="O64" t="s">
        <v>136</v>
      </c>
      <c r="P64">
        <v>1983</v>
      </c>
      <c r="Q64" t="b">
        <v>0</v>
      </c>
    </row>
    <row r="65" spans="1:17" x14ac:dyDescent="0.2">
      <c r="A65" t="s">
        <v>16</v>
      </c>
      <c r="B65" t="s">
        <v>138</v>
      </c>
      <c r="C65" t="s">
        <v>142</v>
      </c>
      <c r="D65" t="b">
        <v>0</v>
      </c>
      <c r="E65" t="b">
        <v>0</v>
      </c>
      <c r="F65" t="s">
        <v>143</v>
      </c>
      <c r="H65" t="s">
        <v>134</v>
      </c>
      <c r="I65" t="s">
        <v>144</v>
      </c>
      <c r="J65">
        <v>2172</v>
      </c>
      <c r="K65">
        <f t="shared" si="0"/>
        <v>3.3368598209168092</v>
      </c>
      <c r="M65">
        <v>1.5</v>
      </c>
      <c r="O65" t="s">
        <v>136</v>
      </c>
      <c r="P65">
        <v>1983</v>
      </c>
      <c r="Q65" t="b">
        <v>0</v>
      </c>
    </row>
    <row r="66" spans="1:17" x14ac:dyDescent="0.2">
      <c r="A66" t="s">
        <v>16</v>
      </c>
      <c r="B66" t="s">
        <v>17</v>
      </c>
      <c r="C66" t="s">
        <v>145</v>
      </c>
      <c r="D66" t="b">
        <v>0</v>
      </c>
      <c r="E66" t="b">
        <v>0</v>
      </c>
      <c r="F66" t="s">
        <v>33</v>
      </c>
      <c r="G66">
        <v>37</v>
      </c>
      <c r="H66" t="s">
        <v>20</v>
      </c>
      <c r="I66" t="s">
        <v>146</v>
      </c>
      <c r="J66">
        <v>0.59699999999999998</v>
      </c>
      <c r="K66">
        <f t="shared" si="0"/>
        <v>-0.22402566887063094</v>
      </c>
      <c r="M66">
        <v>0.54</v>
      </c>
      <c r="O66" t="s">
        <v>147</v>
      </c>
      <c r="P66">
        <v>1982</v>
      </c>
      <c r="Q66" t="b">
        <v>0</v>
      </c>
    </row>
    <row r="67" spans="1:17" x14ac:dyDescent="0.2">
      <c r="A67" t="s">
        <v>16</v>
      </c>
      <c r="B67" t="s">
        <v>17</v>
      </c>
      <c r="C67" t="s">
        <v>145</v>
      </c>
      <c r="D67" t="b">
        <v>0</v>
      </c>
      <c r="E67" t="b">
        <v>0</v>
      </c>
      <c r="F67" t="s">
        <v>19</v>
      </c>
      <c r="G67">
        <v>37</v>
      </c>
      <c r="H67" t="s">
        <v>20</v>
      </c>
      <c r="I67" t="s">
        <v>148</v>
      </c>
      <c r="J67">
        <v>13</v>
      </c>
      <c r="K67">
        <f t="shared" si="0"/>
        <v>1.1139433523068367</v>
      </c>
      <c r="M67">
        <v>1.23</v>
      </c>
      <c r="O67" t="s">
        <v>147</v>
      </c>
      <c r="P67">
        <v>1982</v>
      </c>
      <c r="Q67" t="b">
        <v>0</v>
      </c>
    </row>
    <row r="68" spans="1:17" x14ac:dyDescent="0.2">
      <c r="A68" t="s">
        <v>16</v>
      </c>
      <c r="B68" t="s">
        <v>17</v>
      </c>
      <c r="C68" t="s">
        <v>60</v>
      </c>
      <c r="D68" t="b">
        <v>0</v>
      </c>
      <c r="E68" t="b">
        <v>0</v>
      </c>
      <c r="F68" t="s">
        <v>33</v>
      </c>
      <c r="G68">
        <v>40</v>
      </c>
      <c r="H68" t="s">
        <v>20</v>
      </c>
      <c r="I68" t="s">
        <v>149</v>
      </c>
      <c r="J68">
        <v>0.19</v>
      </c>
      <c r="K68">
        <f t="shared" si="0"/>
        <v>-0.72124639904717103</v>
      </c>
      <c r="M68">
        <v>0.75</v>
      </c>
      <c r="O68" t="s">
        <v>150</v>
      </c>
      <c r="P68">
        <v>1996</v>
      </c>
      <c r="Q68" t="b">
        <v>0</v>
      </c>
    </row>
    <row r="69" spans="1:17" x14ac:dyDescent="0.2">
      <c r="A69" t="s">
        <v>31</v>
      </c>
      <c r="B69" t="s">
        <v>126</v>
      </c>
      <c r="D69" t="b">
        <v>0</v>
      </c>
      <c r="E69" t="b">
        <v>0</v>
      </c>
      <c r="F69" t="s">
        <v>33</v>
      </c>
      <c r="G69">
        <v>25</v>
      </c>
      <c r="H69" t="s">
        <v>151</v>
      </c>
      <c r="I69" t="s">
        <v>152</v>
      </c>
      <c r="J69">
        <v>6.6000000000000003E-2</v>
      </c>
      <c r="K69">
        <f t="shared" si="0"/>
        <v>-1.1804560644581312</v>
      </c>
      <c r="M69">
        <v>0.3</v>
      </c>
      <c r="N69" t="s">
        <v>153</v>
      </c>
      <c r="O69" t="s">
        <v>154</v>
      </c>
      <c r="P69">
        <v>1977</v>
      </c>
      <c r="Q69" t="b">
        <v>0</v>
      </c>
    </row>
    <row r="70" spans="1:17" x14ac:dyDescent="0.2">
      <c r="A70" t="s">
        <v>31</v>
      </c>
      <c r="B70" t="s">
        <v>17</v>
      </c>
      <c r="C70" t="s">
        <v>155</v>
      </c>
      <c r="D70" t="b">
        <v>0</v>
      </c>
      <c r="E70" t="b">
        <v>0</v>
      </c>
      <c r="F70" t="s">
        <v>19</v>
      </c>
      <c r="G70">
        <v>30</v>
      </c>
      <c r="H70" t="s">
        <v>20</v>
      </c>
      <c r="I70" t="s">
        <v>156</v>
      </c>
      <c r="J70">
        <v>4500</v>
      </c>
      <c r="K70">
        <f t="shared" si="0"/>
        <v>3.6532125137753435</v>
      </c>
      <c r="M70">
        <v>7.4999999999999997E-2</v>
      </c>
      <c r="O70" t="s">
        <v>154</v>
      </c>
      <c r="P70">
        <v>1977</v>
      </c>
      <c r="Q70" t="b">
        <v>0</v>
      </c>
    </row>
    <row r="71" spans="1:17" x14ac:dyDescent="0.2">
      <c r="A71" t="s">
        <v>31</v>
      </c>
      <c r="B71" t="s">
        <v>17</v>
      </c>
      <c r="C71" t="s">
        <v>155</v>
      </c>
      <c r="D71" t="b">
        <v>0</v>
      </c>
      <c r="E71" t="b">
        <v>0</v>
      </c>
      <c r="F71" t="s">
        <v>19</v>
      </c>
      <c r="G71">
        <v>30</v>
      </c>
      <c r="H71" t="s">
        <v>20</v>
      </c>
      <c r="I71" t="s">
        <v>157</v>
      </c>
      <c r="J71">
        <v>17.350000000000001</v>
      </c>
      <c r="K71">
        <f t="shared" si="0"/>
        <v>1.2392994791268925</v>
      </c>
      <c r="M71">
        <v>0.69399999999999995</v>
      </c>
      <c r="O71" t="s">
        <v>154</v>
      </c>
      <c r="P71">
        <v>1977</v>
      </c>
      <c r="Q71" t="b">
        <v>0</v>
      </c>
    </row>
    <row r="72" spans="1:17" x14ac:dyDescent="0.2">
      <c r="A72" t="s">
        <v>31</v>
      </c>
      <c r="B72" t="s">
        <v>158</v>
      </c>
      <c r="D72" t="b">
        <v>1</v>
      </c>
      <c r="E72" t="b">
        <v>0</v>
      </c>
      <c r="F72" t="s">
        <v>33</v>
      </c>
      <c r="G72">
        <v>25</v>
      </c>
      <c r="H72" t="s">
        <v>159</v>
      </c>
      <c r="I72" t="s">
        <v>160</v>
      </c>
      <c r="J72">
        <v>8.0000000000000002E-3</v>
      </c>
      <c r="K72">
        <f t="shared" si="0"/>
        <v>-2.0969100130080562</v>
      </c>
      <c r="M72">
        <v>4.7E-2</v>
      </c>
      <c r="O72" t="s">
        <v>161</v>
      </c>
      <c r="P72">
        <v>1981</v>
      </c>
      <c r="Q72" t="b">
        <v>0</v>
      </c>
    </row>
    <row r="73" spans="1:17" x14ac:dyDescent="0.2">
      <c r="A73" t="s">
        <v>31</v>
      </c>
      <c r="B73" t="s">
        <v>162</v>
      </c>
      <c r="D73" t="b">
        <v>1</v>
      </c>
      <c r="E73" t="b">
        <v>1</v>
      </c>
      <c r="F73" t="s">
        <v>33</v>
      </c>
      <c r="G73">
        <v>25</v>
      </c>
      <c r="H73" t="s">
        <v>159</v>
      </c>
      <c r="I73" t="s">
        <v>163</v>
      </c>
      <c r="J73">
        <v>0.13</v>
      </c>
      <c r="K73">
        <f t="shared" si="0"/>
        <v>-0.88605664769316317</v>
      </c>
      <c r="M73">
        <v>8.3000000000000004E-2</v>
      </c>
      <c r="O73" t="s">
        <v>161</v>
      </c>
      <c r="P73">
        <v>1981</v>
      </c>
      <c r="Q73" t="b">
        <v>0</v>
      </c>
    </row>
    <row r="74" spans="1:17" x14ac:dyDescent="0.2">
      <c r="A74" t="s">
        <v>16</v>
      </c>
      <c r="B74" t="s">
        <v>164</v>
      </c>
      <c r="D74" t="b">
        <v>0</v>
      </c>
      <c r="E74" t="b">
        <v>0</v>
      </c>
      <c r="F74" t="s">
        <v>19</v>
      </c>
      <c r="G74">
        <v>25</v>
      </c>
      <c r="H74" t="s">
        <v>165</v>
      </c>
      <c r="I74" t="s">
        <v>166</v>
      </c>
      <c r="J74">
        <v>2.67</v>
      </c>
      <c r="K74">
        <f t="shared" si="0"/>
        <v>0.42651126136457523</v>
      </c>
      <c r="M74">
        <v>0.15</v>
      </c>
      <c r="O74" t="s">
        <v>167</v>
      </c>
      <c r="P74">
        <v>1977</v>
      </c>
      <c r="Q74" t="b">
        <v>0</v>
      </c>
    </row>
    <row r="75" spans="1:17" x14ac:dyDescent="0.2">
      <c r="A75" t="s">
        <v>168</v>
      </c>
      <c r="B75" t="s">
        <v>17</v>
      </c>
      <c r="D75" t="b">
        <v>0</v>
      </c>
      <c r="E75" t="b">
        <v>0</v>
      </c>
      <c r="F75" t="s">
        <v>33</v>
      </c>
      <c r="H75" t="s">
        <v>169</v>
      </c>
      <c r="I75" t="s">
        <v>170</v>
      </c>
      <c r="J75">
        <v>0.69399999999999995</v>
      </c>
      <c r="K75">
        <f t="shared" si="0"/>
        <v>-0.15864052954514513</v>
      </c>
      <c r="M75">
        <v>0.7</v>
      </c>
      <c r="O75" t="s">
        <v>171</v>
      </c>
      <c r="P75">
        <v>1998</v>
      </c>
      <c r="Q75" t="b">
        <v>0</v>
      </c>
    </row>
    <row r="76" spans="1:17" x14ac:dyDescent="0.2">
      <c r="A76" t="s">
        <v>172</v>
      </c>
      <c r="B76" t="s">
        <v>17</v>
      </c>
      <c r="C76" t="s">
        <v>173</v>
      </c>
      <c r="D76" t="b">
        <v>0</v>
      </c>
      <c r="E76" t="b">
        <v>0</v>
      </c>
      <c r="F76" t="s">
        <v>33</v>
      </c>
      <c r="G76">
        <v>37</v>
      </c>
      <c r="H76" t="s">
        <v>169</v>
      </c>
      <c r="I76" t="s">
        <v>174</v>
      </c>
      <c r="J76">
        <v>0.97899999999999998</v>
      </c>
      <c r="K76">
        <f t="shared" si="0"/>
        <v>-9.2173081968621833E-3</v>
      </c>
      <c r="M76">
        <v>0.73</v>
      </c>
      <c r="O76" t="s">
        <v>175</v>
      </c>
      <c r="P76">
        <v>1994</v>
      </c>
      <c r="Q76" t="b">
        <v>0</v>
      </c>
    </row>
    <row r="77" spans="1:17" x14ac:dyDescent="0.2">
      <c r="A77" t="s">
        <v>76</v>
      </c>
      <c r="B77" t="s">
        <v>17</v>
      </c>
      <c r="C77" t="s">
        <v>176</v>
      </c>
      <c r="D77" t="b">
        <v>0</v>
      </c>
      <c r="E77" t="b">
        <v>0</v>
      </c>
      <c r="F77" t="s">
        <v>19</v>
      </c>
      <c r="H77" t="s">
        <v>177</v>
      </c>
      <c r="I77" t="s">
        <v>178</v>
      </c>
      <c r="J77">
        <v>2</v>
      </c>
      <c r="K77">
        <f t="shared" si="0"/>
        <v>0.3010299956639812</v>
      </c>
      <c r="O77" t="s">
        <v>179</v>
      </c>
      <c r="P77">
        <v>1968</v>
      </c>
      <c r="Q77" t="b">
        <v>0</v>
      </c>
    </row>
    <row r="78" spans="1:17" x14ac:dyDescent="0.2">
      <c r="A78" t="s">
        <v>25</v>
      </c>
      <c r="B78" t="s">
        <v>26</v>
      </c>
      <c r="D78" t="b">
        <v>1</v>
      </c>
      <c r="E78" t="b">
        <v>1</v>
      </c>
      <c r="F78" t="s">
        <v>19</v>
      </c>
      <c r="G78">
        <v>15</v>
      </c>
      <c r="H78" t="s">
        <v>28</v>
      </c>
      <c r="I78" t="s">
        <v>180</v>
      </c>
      <c r="J78">
        <v>1.03</v>
      </c>
      <c r="K78">
        <f t="shared" si="0"/>
        <v>1.2837224705172217E-2</v>
      </c>
      <c r="M78">
        <v>4.8000000000000001E-2</v>
      </c>
      <c r="O78" t="s">
        <v>181</v>
      </c>
      <c r="P78">
        <v>1982</v>
      </c>
      <c r="Q78" t="b">
        <v>0</v>
      </c>
    </row>
    <row r="79" spans="1:17" x14ac:dyDescent="0.2">
      <c r="A79" t="s">
        <v>25</v>
      </c>
      <c r="B79" t="s">
        <v>26</v>
      </c>
      <c r="D79" t="b">
        <v>1</v>
      </c>
      <c r="E79" t="b">
        <v>1</v>
      </c>
      <c r="F79" t="s">
        <v>19</v>
      </c>
      <c r="G79">
        <v>20</v>
      </c>
      <c r="H79" t="s">
        <v>28</v>
      </c>
      <c r="I79" t="s">
        <v>182</v>
      </c>
      <c r="J79">
        <v>0.88</v>
      </c>
      <c r="K79">
        <f t="shared" si="0"/>
        <v>-5.551732784983137E-2</v>
      </c>
      <c r="M79">
        <v>4.5000000000000012E-2</v>
      </c>
      <c r="O79" t="s">
        <v>181</v>
      </c>
      <c r="P79">
        <v>1982</v>
      </c>
      <c r="Q79" t="b">
        <v>0</v>
      </c>
    </row>
    <row r="80" spans="1:17" x14ac:dyDescent="0.2">
      <c r="A80" t="s">
        <v>25</v>
      </c>
      <c r="B80" t="s">
        <v>26</v>
      </c>
      <c r="D80" t="b">
        <v>1</v>
      </c>
      <c r="E80" t="b">
        <v>1</v>
      </c>
      <c r="F80" t="s">
        <v>27</v>
      </c>
      <c r="G80">
        <v>10</v>
      </c>
      <c r="H80" t="s">
        <v>28</v>
      </c>
      <c r="I80" t="s">
        <v>183</v>
      </c>
      <c r="J80">
        <v>0.68</v>
      </c>
      <c r="K80">
        <f t="shared" si="0"/>
        <v>-0.16749108729376366</v>
      </c>
      <c r="M80">
        <v>3.5999999999999997E-2</v>
      </c>
      <c r="O80" t="s">
        <v>181</v>
      </c>
      <c r="P80">
        <v>1982</v>
      </c>
      <c r="Q80" t="b">
        <v>0</v>
      </c>
    </row>
    <row r="81" spans="1:17" x14ac:dyDescent="0.2">
      <c r="A81" t="s">
        <v>25</v>
      </c>
      <c r="B81" t="s">
        <v>26</v>
      </c>
      <c r="D81" t="b">
        <v>1</v>
      </c>
      <c r="E81" t="b">
        <v>1</v>
      </c>
      <c r="F81" t="s">
        <v>27</v>
      </c>
      <c r="G81">
        <v>20</v>
      </c>
      <c r="H81" t="s">
        <v>28</v>
      </c>
      <c r="I81" t="s">
        <v>184</v>
      </c>
      <c r="J81">
        <v>1.24</v>
      </c>
      <c r="K81">
        <f t="shared" si="0"/>
        <v>9.3421685162235063E-2</v>
      </c>
      <c r="M81">
        <v>5.3999999999999999E-2</v>
      </c>
      <c r="O81" t="s">
        <v>181</v>
      </c>
      <c r="P81">
        <v>1982</v>
      </c>
      <c r="Q81" t="b">
        <v>0</v>
      </c>
    </row>
    <row r="82" spans="1:17" x14ac:dyDescent="0.2">
      <c r="A82" t="s">
        <v>16</v>
      </c>
      <c r="B82" t="s">
        <v>17</v>
      </c>
      <c r="C82" t="s">
        <v>185</v>
      </c>
      <c r="D82" t="b">
        <v>0</v>
      </c>
      <c r="E82" t="b">
        <v>0</v>
      </c>
      <c r="F82" t="s">
        <v>19</v>
      </c>
      <c r="G82">
        <v>37</v>
      </c>
      <c r="H82" t="s">
        <v>20</v>
      </c>
      <c r="I82" t="s">
        <v>186</v>
      </c>
      <c r="J82">
        <v>22</v>
      </c>
      <c r="K82">
        <f t="shared" si="0"/>
        <v>1.3424226808222062</v>
      </c>
      <c r="M82">
        <v>0.94</v>
      </c>
      <c r="O82" t="s">
        <v>187</v>
      </c>
      <c r="P82">
        <v>1942</v>
      </c>
      <c r="Q82" t="b">
        <v>0</v>
      </c>
    </row>
    <row r="83" spans="1:17" x14ac:dyDescent="0.2">
      <c r="A83" t="s">
        <v>188</v>
      </c>
      <c r="B83" t="s">
        <v>17</v>
      </c>
      <c r="C83" t="s">
        <v>189</v>
      </c>
      <c r="D83" t="b">
        <v>0</v>
      </c>
      <c r="E83" t="b">
        <v>0</v>
      </c>
      <c r="F83" t="s">
        <v>19</v>
      </c>
      <c r="H83" t="s">
        <v>190</v>
      </c>
      <c r="I83" t="s">
        <v>191</v>
      </c>
      <c r="J83">
        <v>5.0000000000000001E-3</v>
      </c>
      <c r="K83">
        <f t="shared" si="0"/>
        <v>-2.3010299956639813</v>
      </c>
      <c r="M83">
        <v>0.6</v>
      </c>
      <c r="O83" t="s">
        <v>192</v>
      </c>
      <c r="P83">
        <v>1950</v>
      </c>
      <c r="Q83" t="b">
        <v>0</v>
      </c>
    </row>
    <row r="84" spans="1:17" x14ac:dyDescent="0.2">
      <c r="A84" t="s">
        <v>188</v>
      </c>
      <c r="B84" t="s">
        <v>17</v>
      </c>
      <c r="C84" t="s">
        <v>193</v>
      </c>
      <c r="D84" t="b">
        <v>0</v>
      </c>
      <c r="E84" t="b">
        <v>0</v>
      </c>
      <c r="F84" t="s">
        <v>19</v>
      </c>
      <c r="H84" t="s">
        <v>190</v>
      </c>
      <c r="I84" t="s">
        <v>194</v>
      </c>
      <c r="J84">
        <v>3.4000000000000002E-2</v>
      </c>
      <c r="K84">
        <f t="shared" si="0"/>
        <v>-1.4685210829577449</v>
      </c>
      <c r="M84">
        <v>0.6</v>
      </c>
      <c r="O84" t="s">
        <v>192</v>
      </c>
      <c r="P84">
        <v>1950</v>
      </c>
      <c r="Q84" t="b">
        <v>0</v>
      </c>
    </row>
    <row r="85" spans="1:17" x14ac:dyDescent="0.2">
      <c r="A85" t="s">
        <v>25</v>
      </c>
      <c r="B85" t="s">
        <v>195</v>
      </c>
      <c r="D85" t="b">
        <v>1</v>
      </c>
      <c r="E85" t="b">
        <v>1</v>
      </c>
      <c r="F85" t="s">
        <v>19</v>
      </c>
      <c r="G85">
        <v>3</v>
      </c>
      <c r="H85" t="s">
        <v>196</v>
      </c>
      <c r="I85" t="s">
        <v>197</v>
      </c>
      <c r="J85">
        <v>0.09</v>
      </c>
      <c r="K85">
        <f t="shared" si="0"/>
        <v>-1.0457574905606752</v>
      </c>
      <c r="M85">
        <v>0.11</v>
      </c>
      <c r="O85" t="s">
        <v>198</v>
      </c>
      <c r="P85">
        <v>1973</v>
      </c>
      <c r="Q85" t="b">
        <v>0</v>
      </c>
    </row>
    <row r="86" spans="1:17" x14ac:dyDescent="0.2">
      <c r="A86" t="s">
        <v>25</v>
      </c>
      <c r="B86" t="s">
        <v>195</v>
      </c>
      <c r="D86" t="b">
        <v>1</v>
      </c>
      <c r="E86" t="b">
        <v>1</v>
      </c>
      <c r="F86" t="s">
        <v>19</v>
      </c>
      <c r="G86">
        <v>10</v>
      </c>
      <c r="H86" t="s">
        <v>196</v>
      </c>
      <c r="I86" t="s">
        <v>199</v>
      </c>
      <c r="J86">
        <v>0.02</v>
      </c>
      <c r="K86">
        <f t="shared" si="0"/>
        <v>-1.6989700043360187</v>
      </c>
      <c r="M86">
        <v>0.12</v>
      </c>
      <c r="O86" t="s">
        <v>198</v>
      </c>
      <c r="P86">
        <v>1973</v>
      </c>
      <c r="Q86" t="b">
        <v>0</v>
      </c>
    </row>
    <row r="87" spans="1:17" x14ac:dyDescent="0.2">
      <c r="A87" t="s">
        <v>97</v>
      </c>
      <c r="B87" t="s">
        <v>200</v>
      </c>
      <c r="C87" t="s">
        <v>201</v>
      </c>
      <c r="D87" t="b">
        <v>0</v>
      </c>
      <c r="E87" t="b">
        <v>1</v>
      </c>
      <c r="F87" t="s">
        <v>19</v>
      </c>
      <c r="G87">
        <v>30</v>
      </c>
      <c r="H87" t="s">
        <v>202</v>
      </c>
      <c r="I87" t="s">
        <v>203</v>
      </c>
      <c r="J87">
        <v>6000</v>
      </c>
      <c r="K87">
        <f t="shared" ref="K87:K150" si="1">LOG(J87)</f>
        <v>3.7781512503836434</v>
      </c>
      <c r="M87">
        <v>0.71</v>
      </c>
      <c r="N87" t="s">
        <v>204</v>
      </c>
      <c r="O87" t="s">
        <v>205</v>
      </c>
      <c r="P87">
        <v>2007</v>
      </c>
      <c r="Q87" t="b">
        <v>0</v>
      </c>
    </row>
    <row r="88" spans="1:17" x14ac:dyDescent="0.2">
      <c r="A88" t="s">
        <v>16</v>
      </c>
      <c r="B88" t="s">
        <v>200</v>
      </c>
      <c r="C88" t="s">
        <v>201</v>
      </c>
      <c r="D88" t="b">
        <v>0</v>
      </c>
      <c r="E88" t="b">
        <v>1</v>
      </c>
      <c r="F88" t="s">
        <v>33</v>
      </c>
      <c r="G88">
        <v>30</v>
      </c>
      <c r="H88" t="s">
        <v>206</v>
      </c>
      <c r="I88" t="s">
        <v>207</v>
      </c>
      <c r="J88">
        <v>2500</v>
      </c>
      <c r="K88">
        <f t="shared" si="1"/>
        <v>3.3979400086720375</v>
      </c>
      <c r="M88">
        <v>0.37</v>
      </c>
      <c r="O88" t="s">
        <v>205</v>
      </c>
      <c r="P88">
        <v>2007</v>
      </c>
      <c r="Q88" t="b">
        <v>0</v>
      </c>
    </row>
    <row r="89" spans="1:17" x14ac:dyDescent="0.2">
      <c r="A89" t="s">
        <v>16</v>
      </c>
      <c r="B89" t="s">
        <v>200</v>
      </c>
      <c r="D89" t="b">
        <v>0</v>
      </c>
      <c r="E89" t="b">
        <v>1</v>
      </c>
      <c r="F89" t="s">
        <v>19</v>
      </c>
      <c r="G89">
        <v>30</v>
      </c>
      <c r="H89" t="s">
        <v>202</v>
      </c>
      <c r="I89" t="s">
        <v>208</v>
      </c>
      <c r="J89">
        <v>26000</v>
      </c>
      <c r="K89">
        <f t="shared" si="1"/>
        <v>4.4149733479708182</v>
      </c>
      <c r="M89">
        <v>0.34</v>
      </c>
      <c r="N89" t="s">
        <v>209</v>
      </c>
      <c r="O89" t="s">
        <v>205</v>
      </c>
      <c r="P89">
        <v>2007</v>
      </c>
      <c r="Q89" t="b">
        <v>0</v>
      </c>
    </row>
    <row r="90" spans="1:17" x14ac:dyDescent="0.2">
      <c r="A90" t="s">
        <v>210</v>
      </c>
      <c r="B90" t="s">
        <v>211</v>
      </c>
      <c r="C90" t="s">
        <v>212</v>
      </c>
      <c r="D90" t="b">
        <v>0</v>
      </c>
      <c r="E90" t="b">
        <v>1</v>
      </c>
      <c r="F90" t="s">
        <v>213</v>
      </c>
      <c r="I90" t="s">
        <v>84</v>
      </c>
      <c r="J90">
        <v>2.8</v>
      </c>
      <c r="K90">
        <f t="shared" si="1"/>
        <v>0.44715803134221921</v>
      </c>
      <c r="N90" t="s">
        <v>214</v>
      </c>
      <c r="O90" t="s">
        <v>215</v>
      </c>
      <c r="P90">
        <v>1975</v>
      </c>
      <c r="Q90" t="b">
        <v>0</v>
      </c>
    </row>
    <row r="91" spans="1:17" x14ac:dyDescent="0.2">
      <c r="A91" t="s">
        <v>16</v>
      </c>
      <c r="B91" t="s">
        <v>200</v>
      </c>
      <c r="C91" t="s">
        <v>216</v>
      </c>
      <c r="D91" t="b">
        <v>0</v>
      </c>
      <c r="E91" t="b">
        <v>1</v>
      </c>
      <c r="F91" t="s">
        <v>33</v>
      </c>
      <c r="H91" t="s">
        <v>217</v>
      </c>
      <c r="I91" t="s">
        <v>218</v>
      </c>
      <c r="J91">
        <v>110</v>
      </c>
      <c r="K91">
        <f t="shared" si="1"/>
        <v>2.0413926851582249</v>
      </c>
      <c r="M91">
        <v>0.5</v>
      </c>
      <c r="N91" t="s">
        <v>219</v>
      </c>
      <c r="O91" t="s">
        <v>220</v>
      </c>
      <c r="P91">
        <v>1989</v>
      </c>
      <c r="Q91" t="b">
        <v>0</v>
      </c>
    </row>
    <row r="92" spans="1:17" x14ac:dyDescent="0.2">
      <c r="A92" t="s">
        <v>16</v>
      </c>
      <c r="B92" t="s">
        <v>200</v>
      </c>
      <c r="C92" t="s">
        <v>216</v>
      </c>
      <c r="D92" t="b">
        <v>0</v>
      </c>
      <c r="E92" t="b">
        <v>1</v>
      </c>
      <c r="F92" t="s">
        <v>33</v>
      </c>
      <c r="H92" t="s">
        <v>221</v>
      </c>
      <c r="I92" t="s">
        <v>222</v>
      </c>
      <c r="J92">
        <v>390</v>
      </c>
      <c r="K92">
        <f t="shared" si="1"/>
        <v>2.5910646070264991</v>
      </c>
      <c r="M92">
        <v>0.5</v>
      </c>
      <c r="N92" t="s">
        <v>219</v>
      </c>
      <c r="O92" t="s">
        <v>220</v>
      </c>
      <c r="P92">
        <v>1989</v>
      </c>
      <c r="Q92" t="b">
        <v>0</v>
      </c>
    </row>
    <row r="93" spans="1:17" x14ac:dyDescent="0.2">
      <c r="A93" t="s">
        <v>31</v>
      </c>
      <c r="B93" t="s">
        <v>68</v>
      </c>
      <c r="D93" t="b">
        <v>0</v>
      </c>
      <c r="E93" t="b">
        <v>1</v>
      </c>
      <c r="F93" t="s">
        <v>33</v>
      </c>
      <c r="G93">
        <v>25</v>
      </c>
      <c r="H93" t="s">
        <v>169</v>
      </c>
      <c r="I93" t="s">
        <v>223</v>
      </c>
      <c r="J93">
        <v>1.2E-2</v>
      </c>
      <c r="K93">
        <f t="shared" si="1"/>
        <v>-1.9208187539523751</v>
      </c>
      <c r="M93">
        <v>0.18</v>
      </c>
      <c r="O93" t="s">
        <v>224</v>
      </c>
      <c r="P93">
        <v>1979</v>
      </c>
      <c r="Q93" t="b">
        <v>0</v>
      </c>
    </row>
    <row r="94" spans="1:17" x14ac:dyDescent="0.2">
      <c r="A94" t="s">
        <v>25</v>
      </c>
      <c r="B94" t="s">
        <v>225</v>
      </c>
      <c r="D94" t="b">
        <v>1</v>
      </c>
      <c r="E94" t="b">
        <v>1</v>
      </c>
      <c r="F94" t="s">
        <v>19</v>
      </c>
      <c r="H94" t="s">
        <v>226</v>
      </c>
      <c r="I94" t="s">
        <v>82</v>
      </c>
      <c r="J94">
        <v>10</v>
      </c>
      <c r="K94">
        <f t="shared" si="1"/>
        <v>1</v>
      </c>
      <c r="M94">
        <v>0.03</v>
      </c>
      <c r="O94" t="s">
        <v>227</v>
      </c>
      <c r="P94">
        <v>1983</v>
      </c>
      <c r="Q94" t="b">
        <v>0</v>
      </c>
    </row>
    <row r="95" spans="1:17" x14ac:dyDescent="0.2">
      <c r="A95" t="s">
        <v>16</v>
      </c>
      <c r="B95" t="s">
        <v>17</v>
      </c>
      <c r="D95" t="b">
        <v>0</v>
      </c>
      <c r="E95" t="b">
        <v>0</v>
      </c>
      <c r="F95" t="s">
        <v>33</v>
      </c>
      <c r="G95">
        <v>30</v>
      </c>
      <c r="H95" t="s">
        <v>20</v>
      </c>
      <c r="I95" t="s">
        <v>228</v>
      </c>
      <c r="J95">
        <v>480</v>
      </c>
      <c r="K95">
        <f t="shared" si="1"/>
        <v>2.6812412373755872</v>
      </c>
      <c r="M95">
        <v>0.98499999999999999</v>
      </c>
      <c r="N95" t="s">
        <v>229</v>
      </c>
      <c r="O95" t="s">
        <v>230</v>
      </c>
      <c r="P95">
        <v>1964</v>
      </c>
      <c r="Q95" t="b">
        <v>0</v>
      </c>
    </row>
    <row r="96" spans="1:17" x14ac:dyDescent="0.2">
      <c r="A96" t="s">
        <v>16</v>
      </c>
      <c r="B96" t="s">
        <v>17</v>
      </c>
      <c r="C96" t="s">
        <v>60</v>
      </c>
      <c r="D96" t="b">
        <v>0</v>
      </c>
      <c r="E96" t="b">
        <v>0</v>
      </c>
      <c r="F96" t="s">
        <v>33</v>
      </c>
      <c r="G96">
        <v>37</v>
      </c>
      <c r="H96" t="s">
        <v>20</v>
      </c>
      <c r="I96" t="s">
        <v>231</v>
      </c>
      <c r="J96">
        <v>0.3</v>
      </c>
      <c r="K96">
        <f t="shared" si="1"/>
        <v>-0.52287874528033762</v>
      </c>
      <c r="M96">
        <v>0.8</v>
      </c>
      <c r="O96" t="s">
        <v>232</v>
      </c>
      <c r="P96">
        <v>1994</v>
      </c>
      <c r="Q96" t="b">
        <v>0</v>
      </c>
    </row>
    <row r="97" spans="1:17" x14ac:dyDescent="0.2">
      <c r="A97" t="s">
        <v>16</v>
      </c>
      <c r="B97" t="s">
        <v>17</v>
      </c>
      <c r="C97" t="s">
        <v>60</v>
      </c>
      <c r="D97" t="b">
        <v>0</v>
      </c>
      <c r="E97" t="b">
        <v>0</v>
      </c>
      <c r="F97" t="s">
        <v>33</v>
      </c>
      <c r="G97">
        <v>37</v>
      </c>
      <c r="H97" t="s">
        <v>20</v>
      </c>
      <c r="I97" t="s">
        <v>233</v>
      </c>
      <c r="J97">
        <v>0.4</v>
      </c>
      <c r="K97">
        <f t="shared" si="1"/>
        <v>-0.3979400086720376</v>
      </c>
      <c r="M97">
        <v>0.92</v>
      </c>
      <c r="O97" t="s">
        <v>232</v>
      </c>
      <c r="P97">
        <v>1994</v>
      </c>
      <c r="Q97" t="b">
        <v>0</v>
      </c>
    </row>
    <row r="98" spans="1:17" x14ac:dyDescent="0.2">
      <c r="A98" t="s">
        <v>188</v>
      </c>
      <c r="B98" t="s">
        <v>17</v>
      </c>
      <c r="C98" t="s">
        <v>60</v>
      </c>
      <c r="D98" t="b">
        <v>0</v>
      </c>
      <c r="E98" t="b">
        <v>0</v>
      </c>
      <c r="F98" t="s">
        <v>19</v>
      </c>
      <c r="G98">
        <v>30</v>
      </c>
      <c r="H98" t="s">
        <v>20</v>
      </c>
      <c r="I98" t="s">
        <v>234</v>
      </c>
      <c r="J98">
        <v>60</v>
      </c>
      <c r="K98">
        <f t="shared" si="1"/>
        <v>1.7781512503836436</v>
      </c>
      <c r="M98">
        <v>0.185</v>
      </c>
      <c r="O98" t="s">
        <v>235</v>
      </c>
      <c r="P98">
        <v>1971</v>
      </c>
      <c r="Q98" t="b">
        <v>0</v>
      </c>
    </row>
    <row r="99" spans="1:17" x14ac:dyDescent="0.2">
      <c r="A99" t="s">
        <v>188</v>
      </c>
      <c r="B99" t="s">
        <v>17</v>
      </c>
      <c r="C99" t="s">
        <v>60</v>
      </c>
      <c r="D99" t="b">
        <v>0</v>
      </c>
      <c r="E99" t="b">
        <v>0</v>
      </c>
      <c r="F99" t="s">
        <v>19</v>
      </c>
      <c r="G99">
        <v>30</v>
      </c>
      <c r="H99" t="s">
        <v>20</v>
      </c>
      <c r="I99" t="s">
        <v>194</v>
      </c>
      <c r="J99">
        <v>3.4000000000000002E-2</v>
      </c>
      <c r="K99">
        <f t="shared" si="1"/>
        <v>-1.4685210829577449</v>
      </c>
      <c r="M99">
        <v>0.55600000000000005</v>
      </c>
      <c r="O99" t="s">
        <v>235</v>
      </c>
      <c r="P99">
        <v>1971</v>
      </c>
      <c r="Q99" t="b">
        <v>0</v>
      </c>
    </row>
    <row r="100" spans="1:17" x14ac:dyDescent="0.2">
      <c r="A100" t="s">
        <v>16</v>
      </c>
      <c r="B100" t="s">
        <v>17</v>
      </c>
      <c r="C100" t="s">
        <v>155</v>
      </c>
      <c r="D100" t="b">
        <v>0</v>
      </c>
      <c r="E100" t="b">
        <v>0</v>
      </c>
      <c r="F100" t="s">
        <v>19</v>
      </c>
      <c r="G100">
        <v>30</v>
      </c>
      <c r="H100" t="s">
        <v>20</v>
      </c>
      <c r="I100" t="s">
        <v>236</v>
      </c>
      <c r="J100">
        <v>0.38</v>
      </c>
      <c r="K100">
        <f t="shared" si="1"/>
        <v>-0.42021640338318983</v>
      </c>
      <c r="M100">
        <v>0.78</v>
      </c>
      <c r="N100" t="s">
        <v>24</v>
      </c>
      <c r="O100" t="s">
        <v>237</v>
      </c>
      <c r="P100">
        <v>1971</v>
      </c>
      <c r="Q100" t="b">
        <v>0</v>
      </c>
    </row>
    <row r="101" spans="1:17" x14ac:dyDescent="0.2">
      <c r="A101" t="s">
        <v>102</v>
      </c>
      <c r="B101" t="s">
        <v>238</v>
      </c>
      <c r="C101" t="s">
        <v>239</v>
      </c>
      <c r="D101" t="b">
        <v>0</v>
      </c>
      <c r="E101" t="b">
        <v>1</v>
      </c>
      <c r="F101" t="s">
        <v>33</v>
      </c>
      <c r="G101">
        <v>35</v>
      </c>
      <c r="I101" t="s">
        <v>240</v>
      </c>
      <c r="J101">
        <v>50</v>
      </c>
      <c r="K101">
        <f t="shared" si="1"/>
        <v>1.6989700043360187</v>
      </c>
      <c r="M101">
        <v>0.01</v>
      </c>
      <c r="O101" t="s">
        <v>241</v>
      </c>
      <c r="P101">
        <v>1975</v>
      </c>
      <c r="Q101" t="b">
        <v>0</v>
      </c>
    </row>
    <row r="102" spans="1:17" x14ac:dyDescent="0.2">
      <c r="A102" t="s">
        <v>242</v>
      </c>
      <c r="B102" t="s">
        <v>238</v>
      </c>
      <c r="C102" t="s">
        <v>239</v>
      </c>
      <c r="D102" t="b">
        <v>0</v>
      </c>
      <c r="E102" t="b">
        <v>1</v>
      </c>
      <c r="F102" t="s">
        <v>33</v>
      </c>
      <c r="H102" t="s">
        <v>20</v>
      </c>
      <c r="I102" t="s">
        <v>46</v>
      </c>
      <c r="J102">
        <v>2.6</v>
      </c>
      <c r="K102">
        <f t="shared" si="1"/>
        <v>0.41497334797081797</v>
      </c>
      <c r="M102">
        <v>0.01</v>
      </c>
      <c r="O102" t="s">
        <v>241</v>
      </c>
      <c r="P102">
        <v>1975</v>
      </c>
      <c r="Q102" t="b">
        <v>0</v>
      </c>
    </row>
    <row r="103" spans="1:17" x14ac:dyDescent="0.2">
      <c r="A103" t="s">
        <v>16</v>
      </c>
      <c r="B103" t="s">
        <v>200</v>
      </c>
      <c r="C103" t="s">
        <v>243</v>
      </c>
      <c r="D103" t="b">
        <v>0</v>
      </c>
      <c r="E103" t="b">
        <v>1</v>
      </c>
      <c r="F103" t="s">
        <v>33</v>
      </c>
      <c r="G103">
        <v>30</v>
      </c>
      <c r="H103" t="s">
        <v>244</v>
      </c>
      <c r="I103" t="s">
        <v>245</v>
      </c>
      <c r="J103">
        <v>120</v>
      </c>
      <c r="K103">
        <f t="shared" si="1"/>
        <v>2.0791812460476247</v>
      </c>
      <c r="L103" t="s">
        <v>246</v>
      </c>
      <c r="M103">
        <v>0.51</v>
      </c>
      <c r="O103" t="s">
        <v>247</v>
      </c>
      <c r="P103">
        <v>2009</v>
      </c>
      <c r="Q103" t="b">
        <v>0</v>
      </c>
    </row>
    <row r="104" spans="1:17" x14ac:dyDescent="0.2">
      <c r="A104" t="s">
        <v>71</v>
      </c>
      <c r="B104" t="s">
        <v>248</v>
      </c>
      <c r="C104" t="s">
        <v>249</v>
      </c>
      <c r="D104" t="b">
        <v>1</v>
      </c>
      <c r="E104" t="b">
        <v>1</v>
      </c>
      <c r="F104" t="s">
        <v>250</v>
      </c>
      <c r="H104" t="s">
        <v>251</v>
      </c>
      <c r="I104" t="s">
        <v>73</v>
      </c>
      <c r="J104">
        <v>0.3</v>
      </c>
      <c r="K104">
        <f t="shared" si="1"/>
        <v>-0.52287874528033762</v>
      </c>
      <c r="M104">
        <v>1.6E-2</v>
      </c>
      <c r="O104" t="s">
        <v>252</v>
      </c>
      <c r="P104">
        <v>1986</v>
      </c>
      <c r="Q104" t="b">
        <v>0</v>
      </c>
    </row>
    <row r="105" spans="1:17" x14ac:dyDescent="0.2">
      <c r="A105" t="s">
        <v>71</v>
      </c>
      <c r="B105" t="s">
        <v>253</v>
      </c>
      <c r="C105" t="s">
        <v>249</v>
      </c>
      <c r="D105" t="b">
        <v>1</v>
      </c>
      <c r="E105" t="b">
        <v>1</v>
      </c>
      <c r="F105" t="s">
        <v>250</v>
      </c>
      <c r="H105" t="s">
        <v>251</v>
      </c>
      <c r="I105" t="s">
        <v>254</v>
      </c>
      <c r="J105">
        <v>0.8</v>
      </c>
      <c r="K105">
        <f t="shared" si="1"/>
        <v>-9.6910013008056392E-2</v>
      </c>
      <c r="M105">
        <v>2.3E-2</v>
      </c>
      <c r="O105" t="s">
        <v>252</v>
      </c>
      <c r="P105">
        <v>1986</v>
      </c>
      <c r="Q105" t="b">
        <v>0</v>
      </c>
    </row>
    <row r="106" spans="1:17" x14ac:dyDescent="0.2">
      <c r="A106" t="s">
        <v>71</v>
      </c>
      <c r="B106" t="s">
        <v>255</v>
      </c>
      <c r="C106" t="s">
        <v>249</v>
      </c>
      <c r="D106" t="b">
        <v>1</v>
      </c>
      <c r="E106" t="b">
        <v>1</v>
      </c>
      <c r="F106" t="s">
        <v>250</v>
      </c>
      <c r="H106" t="s">
        <v>251</v>
      </c>
      <c r="I106" t="s">
        <v>256</v>
      </c>
      <c r="J106">
        <v>0.9</v>
      </c>
      <c r="K106">
        <f t="shared" si="1"/>
        <v>-4.5757490560675115E-2</v>
      </c>
      <c r="M106">
        <v>1.7999999999999999E-2</v>
      </c>
      <c r="O106" t="s">
        <v>252</v>
      </c>
      <c r="P106">
        <v>1986</v>
      </c>
      <c r="Q106" t="b">
        <v>0</v>
      </c>
    </row>
    <row r="107" spans="1:17" x14ac:dyDescent="0.2">
      <c r="A107" t="s">
        <v>71</v>
      </c>
      <c r="B107" t="s">
        <v>257</v>
      </c>
      <c r="C107" t="s">
        <v>249</v>
      </c>
      <c r="D107" t="b">
        <v>1</v>
      </c>
      <c r="E107" t="b">
        <v>1</v>
      </c>
      <c r="F107" t="s">
        <v>250</v>
      </c>
      <c r="H107" t="s">
        <v>251</v>
      </c>
      <c r="I107" t="s">
        <v>258</v>
      </c>
      <c r="J107">
        <v>1.4</v>
      </c>
      <c r="K107">
        <f t="shared" si="1"/>
        <v>0.14612803567823801</v>
      </c>
      <c r="M107">
        <v>2.1999999999999999E-2</v>
      </c>
      <c r="O107" t="s">
        <v>252</v>
      </c>
      <c r="P107">
        <v>1986</v>
      </c>
      <c r="Q107" t="b">
        <v>0</v>
      </c>
    </row>
    <row r="108" spans="1:17" x14ac:dyDescent="0.2">
      <c r="A108" t="s">
        <v>71</v>
      </c>
      <c r="B108" t="s">
        <v>259</v>
      </c>
      <c r="C108" t="s">
        <v>249</v>
      </c>
      <c r="D108" t="b">
        <v>1</v>
      </c>
      <c r="E108" t="b">
        <v>1</v>
      </c>
      <c r="F108" t="s">
        <v>250</v>
      </c>
      <c r="H108" t="s">
        <v>251</v>
      </c>
      <c r="I108" t="s">
        <v>260</v>
      </c>
      <c r="J108">
        <v>4.2</v>
      </c>
      <c r="K108">
        <f t="shared" si="1"/>
        <v>0.62324929039790045</v>
      </c>
      <c r="M108">
        <v>2.5000000000000001E-2</v>
      </c>
      <c r="O108" t="s">
        <v>252</v>
      </c>
      <c r="P108">
        <v>1986</v>
      </c>
      <c r="Q108" t="b">
        <v>0</v>
      </c>
    </row>
    <row r="109" spans="1:17" x14ac:dyDescent="0.2">
      <c r="A109" t="s">
        <v>25</v>
      </c>
      <c r="B109" t="s">
        <v>248</v>
      </c>
      <c r="C109" t="s">
        <v>249</v>
      </c>
      <c r="D109" t="b">
        <v>1</v>
      </c>
      <c r="E109" t="b">
        <v>1</v>
      </c>
      <c r="F109" t="s">
        <v>250</v>
      </c>
      <c r="H109" t="s">
        <v>251</v>
      </c>
      <c r="I109" t="s">
        <v>261</v>
      </c>
      <c r="J109">
        <v>60.1</v>
      </c>
      <c r="K109">
        <f t="shared" si="1"/>
        <v>1.7788744720027396</v>
      </c>
      <c r="M109">
        <v>1.6E-2</v>
      </c>
      <c r="O109" t="s">
        <v>252</v>
      </c>
      <c r="P109">
        <v>1986</v>
      </c>
      <c r="Q109" t="b">
        <v>0</v>
      </c>
    </row>
    <row r="110" spans="1:17" x14ac:dyDescent="0.2">
      <c r="A110" t="s">
        <v>25</v>
      </c>
      <c r="B110" t="s">
        <v>253</v>
      </c>
      <c r="C110" t="s">
        <v>249</v>
      </c>
      <c r="D110" t="b">
        <v>1</v>
      </c>
      <c r="E110" t="b">
        <v>1</v>
      </c>
      <c r="F110" t="s">
        <v>250</v>
      </c>
      <c r="H110" t="s">
        <v>251</v>
      </c>
      <c r="I110" t="s">
        <v>262</v>
      </c>
      <c r="J110">
        <v>88.7</v>
      </c>
      <c r="K110">
        <f t="shared" si="1"/>
        <v>1.9479236198317265</v>
      </c>
      <c r="M110">
        <v>2.3E-2</v>
      </c>
      <c r="O110" t="s">
        <v>252</v>
      </c>
      <c r="P110">
        <v>1986</v>
      </c>
      <c r="Q110" t="b">
        <v>0</v>
      </c>
    </row>
    <row r="111" spans="1:17" x14ac:dyDescent="0.2">
      <c r="A111" t="s">
        <v>25</v>
      </c>
      <c r="B111" t="s">
        <v>255</v>
      </c>
      <c r="C111" t="s">
        <v>249</v>
      </c>
      <c r="D111" t="b">
        <v>1</v>
      </c>
      <c r="E111" t="b">
        <v>1</v>
      </c>
      <c r="F111" t="s">
        <v>250</v>
      </c>
      <c r="H111" t="s">
        <v>251</v>
      </c>
      <c r="I111" t="s">
        <v>263</v>
      </c>
      <c r="J111">
        <v>5.7</v>
      </c>
      <c r="K111">
        <f t="shared" si="1"/>
        <v>0.75587485567249146</v>
      </c>
      <c r="M111">
        <v>1.7000000000000001E-2</v>
      </c>
      <c r="O111" t="s">
        <v>252</v>
      </c>
      <c r="P111">
        <v>1986</v>
      </c>
      <c r="Q111" t="b">
        <v>0</v>
      </c>
    </row>
    <row r="112" spans="1:17" x14ac:dyDescent="0.2">
      <c r="A112" t="s">
        <v>25</v>
      </c>
      <c r="B112" t="s">
        <v>257</v>
      </c>
      <c r="C112" t="s">
        <v>249</v>
      </c>
      <c r="D112" t="b">
        <v>1</v>
      </c>
      <c r="E112" t="b">
        <v>1</v>
      </c>
      <c r="F112" t="s">
        <v>250</v>
      </c>
      <c r="H112" t="s">
        <v>251</v>
      </c>
      <c r="I112" t="s">
        <v>264</v>
      </c>
      <c r="J112">
        <v>21.7</v>
      </c>
      <c r="K112">
        <f t="shared" si="1"/>
        <v>1.3364597338485296</v>
      </c>
      <c r="M112">
        <v>2.1999999999999999E-2</v>
      </c>
      <c r="O112" t="s">
        <v>252</v>
      </c>
      <c r="P112">
        <v>1986</v>
      </c>
      <c r="Q112" t="b">
        <v>0</v>
      </c>
    </row>
    <row r="113" spans="1:17" x14ac:dyDescent="0.2">
      <c r="A113" t="s">
        <v>25</v>
      </c>
      <c r="B113" t="s">
        <v>259</v>
      </c>
      <c r="C113" t="s">
        <v>249</v>
      </c>
      <c r="D113" t="b">
        <v>1</v>
      </c>
      <c r="E113" t="b">
        <v>1</v>
      </c>
      <c r="F113" t="s">
        <v>250</v>
      </c>
      <c r="H113" t="s">
        <v>251</v>
      </c>
      <c r="I113" t="s">
        <v>265</v>
      </c>
      <c r="J113">
        <v>8.4</v>
      </c>
      <c r="K113">
        <f t="shared" si="1"/>
        <v>0.9242792860618817</v>
      </c>
      <c r="M113">
        <v>2.5000000000000001E-2</v>
      </c>
      <c r="O113" t="s">
        <v>252</v>
      </c>
      <c r="P113">
        <v>1986</v>
      </c>
      <c r="Q113" t="b">
        <v>0</v>
      </c>
    </row>
    <row r="114" spans="1:17" x14ac:dyDescent="0.2">
      <c r="A114" t="s">
        <v>242</v>
      </c>
      <c r="B114" t="s">
        <v>17</v>
      </c>
      <c r="C114" t="s">
        <v>18</v>
      </c>
      <c r="D114" t="b">
        <v>0</v>
      </c>
      <c r="E114" t="b">
        <v>0</v>
      </c>
      <c r="F114" t="s">
        <v>266</v>
      </c>
      <c r="G114">
        <v>37</v>
      </c>
      <c r="H114" t="s">
        <v>20</v>
      </c>
      <c r="I114" t="s">
        <v>267</v>
      </c>
      <c r="J114">
        <v>0.12</v>
      </c>
      <c r="K114">
        <f t="shared" si="1"/>
        <v>-0.92081875395237522</v>
      </c>
      <c r="L114" t="s">
        <v>199</v>
      </c>
      <c r="M114">
        <v>0.4</v>
      </c>
      <c r="N114" t="s">
        <v>268</v>
      </c>
      <c r="O114" t="s">
        <v>269</v>
      </c>
      <c r="P114">
        <v>2010</v>
      </c>
      <c r="Q114" t="b">
        <v>0</v>
      </c>
    </row>
    <row r="115" spans="1:17" x14ac:dyDescent="0.2">
      <c r="A115" t="s">
        <v>71</v>
      </c>
      <c r="B115" t="s">
        <v>270</v>
      </c>
      <c r="D115" t="b">
        <v>1</v>
      </c>
      <c r="E115" t="b">
        <v>1</v>
      </c>
      <c r="F115" t="s">
        <v>19</v>
      </c>
      <c r="G115">
        <v>15</v>
      </c>
      <c r="H115" t="s">
        <v>271</v>
      </c>
      <c r="I115" t="s">
        <v>272</v>
      </c>
      <c r="J115">
        <v>0.28000000000000003</v>
      </c>
      <c r="K115">
        <f t="shared" si="1"/>
        <v>-0.55284196865778079</v>
      </c>
      <c r="M115">
        <v>0.08</v>
      </c>
      <c r="O115" t="s">
        <v>273</v>
      </c>
      <c r="P115">
        <v>1974</v>
      </c>
      <c r="Q115" t="b">
        <v>0</v>
      </c>
    </row>
    <row r="116" spans="1:17" x14ac:dyDescent="0.2">
      <c r="A116" t="s">
        <v>71</v>
      </c>
      <c r="B116" t="s">
        <v>270</v>
      </c>
      <c r="D116" t="b">
        <v>1</v>
      </c>
      <c r="E116" t="b">
        <v>1</v>
      </c>
      <c r="F116" t="s">
        <v>19</v>
      </c>
      <c r="G116">
        <v>25</v>
      </c>
      <c r="H116" t="s">
        <v>271</v>
      </c>
      <c r="I116" t="s">
        <v>274</v>
      </c>
      <c r="J116">
        <v>0.95</v>
      </c>
      <c r="K116">
        <f t="shared" si="1"/>
        <v>-2.2276394711152253E-2</v>
      </c>
      <c r="M116">
        <v>7.6999999999999999E-2</v>
      </c>
      <c r="O116" t="s">
        <v>273</v>
      </c>
      <c r="P116">
        <v>1974</v>
      </c>
      <c r="Q116" t="b">
        <v>0</v>
      </c>
    </row>
    <row r="117" spans="1:17" x14ac:dyDescent="0.2">
      <c r="A117" t="s">
        <v>71</v>
      </c>
      <c r="B117" t="s">
        <v>275</v>
      </c>
      <c r="D117" t="b">
        <v>1</v>
      </c>
      <c r="E117" t="b">
        <v>1</v>
      </c>
      <c r="F117" t="s">
        <v>19</v>
      </c>
      <c r="G117">
        <v>18</v>
      </c>
      <c r="H117" t="s">
        <v>271</v>
      </c>
      <c r="I117" t="s">
        <v>276</v>
      </c>
      <c r="J117">
        <v>1.02</v>
      </c>
      <c r="K117">
        <f t="shared" si="1"/>
        <v>8.6001717619175692E-3</v>
      </c>
      <c r="M117">
        <v>0.02</v>
      </c>
      <c r="O117" t="s">
        <v>273</v>
      </c>
      <c r="P117">
        <v>1974</v>
      </c>
      <c r="Q117" t="b">
        <v>0</v>
      </c>
    </row>
    <row r="118" spans="1:17" x14ac:dyDescent="0.2">
      <c r="A118" t="s">
        <v>71</v>
      </c>
      <c r="B118" t="s">
        <v>275</v>
      </c>
      <c r="D118" t="b">
        <v>1</v>
      </c>
      <c r="E118" t="b">
        <v>1</v>
      </c>
      <c r="F118" t="s">
        <v>19</v>
      </c>
      <c r="G118">
        <v>25</v>
      </c>
      <c r="H118" t="s">
        <v>271</v>
      </c>
      <c r="I118" t="s">
        <v>277</v>
      </c>
      <c r="J118">
        <v>6.55</v>
      </c>
      <c r="K118">
        <f t="shared" si="1"/>
        <v>0.81624129999178308</v>
      </c>
      <c r="M118">
        <v>3.5000000000000003E-2</v>
      </c>
      <c r="O118" t="s">
        <v>273</v>
      </c>
      <c r="P118">
        <v>1974</v>
      </c>
      <c r="Q118" t="b">
        <v>0</v>
      </c>
    </row>
    <row r="119" spans="1:17" x14ac:dyDescent="0.2">
      <c r="A119" t="s">
        <v>25</v>
      </c>
      <c r="B119" t="s">
        <v>278</v>
      </c>
      <c r="D119" t="b">
        <v>1</v>
      </c>
      <c r="E119" t="b">
        <v>1</v>
      </c>
      <c r="F119" t="s">
        <v>19</v>
      </c>
      <c r="H119" t="s">
        <v>279</v>
      </c>
      <c r="I119" t="s">
        <v>280</v>
      </c>
      <c r="J119">
        <v>1.5</v>
      </c>
      <c r="K119">
        <f t="shared" si="1"/>
        <v>0.17609125905568124</v>
      </c>
      <c r="M119">
        <v>2.5999999999999999E-2</v>
      </c>
      <c r="O119" t="s">
        <v>281</v>
      </c>
      <c r="P119">
        <v>1981</v>
      </c>
      <c r="Q119" t="b">
        <v>0</v>
      </c>
    </row>
    <row r="120" spans="1:17" x14ac:dyDescent="0.2">
      <c r="A120" t="s">
        <v>25</v>
      </c>
      <c r="B120" t="s">
        <v>282</v>
      </c>
      <c r="D120" t="b">
        <v>1</v>
      </c>
      <c r="E120" t="b">
        <v>1</v>
      </c>
      <c r="F120" t="s">
        <v>19</v>
      </c>
      <c r="H120" t="s">
        <v>279</v>
      </c>
      <c r="I120" t="s">
        <v>283</v>
      </c>
      <c r="J120">
        <v>2.2000000000000002</v>
      </c>
      <c r="K120">
        <f t="shared" si="1"/>
        <v>0.34242268082220628</v>
      </c>
      <c r="M120">
        <v>3.3000000000000002E-2</v>
      </c>
      <c r="O120" t="s">
        <v>281</v>
      </c>
      <c r="P120">
        <v>1981</v>
      </c>
      <c r="Q120" t="b">
        <v>0</v>
      </c>
    </row>
    <row r="121" spans="1:17" x14ac:dyDescent="0.2">
      <c r="A121" t="s">
        <v>25</v>
      </c>
      <c r="B121" t="s">
        <v>284</v>
      </c>
      <c r="D121" t="b">
        <v>1</v>
      </c>
      <c r="E121" t="b">
        <v>1</v>
      </c>
      <c r="F121" t="s">
        <v>19</v>
      </c>
      <c r="H121" t="s">
        <v>279</v>
      </c>
      <c r="I121" t="s">
        <v>285</v>
      </c>
      <c r="J121">
        <v>19.7</v>
      </c>
      <c r="K121">
        <f t="shared" si="1"/>
        <v>1.2944662261615929</v>
      </c>
      <c r="M121">
        <v>4.5999999999999999E-2</v>
      </c>
      <c r="O121" t="s">
        <v>281</v>
      </c>
      <c r="P121">
        <v>1981</v>
      </c>
      <c r="Q121" t="b">
        <v>0</v>
      </c>
    </row>
    <row r="122" spans="1:17" x14ac:dyDescent="0.2">
      <c r="A122" t="s">
        <v>25</v>
      </c>
      <c r="B122" t="s">
        <v>286</v>
      </c>
      <c r="D122" t="b">
        <v>1</v>
      </c>
      <c r="E122" t="b">
        <v>1</v>
      </c>
      <c r="F122" t="s">
        <v>19</v>
      </c>
      <c r="H122" t="s">
        <v>279</v>
      </c>
      <c r="I122" t="s">
        <v>287</v>
      </c>
      <c r="J122">
        <v>19</v>
      </c>
      <c r="K122">
        <f t="shared" si="1"/>
        <v>1.2787536009528289</v>
      </c>
      <c r="M122">
        <v>3.1E-2</v>
      </c>
      <c r="O122" t="s">
        <v>281</v>
      </c>
      <c r="P122">
        <v>1981</v>
      </c>
      <c r="Q122" t="b">
        <v>0</v>
      </c>
    </row>
    <row r="123" spans="1:17" x14ac:dyDescent="0.2">
      <c r="A123" t="s">
        <v>31</v>
      </c>
      <c r="B123" t="s">
        <v>278</v>
      </c>
      <c r="D123" t="b">
        <v>1</v>
      </c>
      <c r="E123" t="b">
        <v>1</v>
      </c>
      <c r="F123" t="s">
        <v>19</v>
      </c>
      <c r="H123" t="s">
        <v>279</v>
      </c>
      <c r="I123" t="s">
        <v>288</v>
      </c>
      <c r="J123">
        <v>1.0999999999999999E-2</v>
      </c>
      <c r="K123">
        <f t="shared" si="1"/>
        <v>-1.9586073148417751</v>
      </c>
      <c r="M123">
        <v>3.3000000000000002E-2</v>
      </c>
      <c r="O123" t="s">
        <v>281</v>
      </c>
      <c r="P123">
        <v>1981</v>
      </c>
      <c r="Q123" t="b">
        <v>0</v>
      </c>
    </row>
    <row r="124" spans="1:17" x14ac:dyDescent="0.2">
      <c r="A124" t="s">
        <v>31</v>
      </c>
      <c r="B124" t="s">
        <v>282</v>
      </c>
      <c r="D124" t="b">
        <v>1</v>
      </c>
      <c r="E124" t="b">
        <v>1</v>
      </c>
      <c r="F124" t="s">
        <v>19</v>
      </c>
      <c r="H124" t="s">
        <v>279</v>
      </c>
      <c r="I124" t="s">
        <v>36</v>
      </c>
      <c r="J124">
        <v>6.0000000000000001E-3</v>
      </c>
      <c r="K124">
        <f t="shared" si="1"/>
        <v>-2.2218487496163561</v>
      </c>
      <c r="M124">
        <v>2.5000000000000001E-2</v>
      </c>
      <c r="O124" t="s">
        <v>281</v>
      </c>
      <c r="P124">
        <v>1981</v>
      </c>
      <c r="Q124" t="b">
        <v>0</v>
      </c>
    </row>
    <row r="125" spans="1:17" x14ac:dyDescent="0.2">
      <c r="A125" t="s">
        <v>31</v>
      </c>
      <c r="B125" t="s">
        <v>284</v>
      </c>
      <c r="D125" t="b">
        <v>1</v>
      </c>
      <c r="E125" t="b">
        <v>1</v>
      </c>
      <c r="F125" t="s">
        <v>19</v>
      </c>
      <c r="H125" t="s">
        <v>279</v>
      </c>
      <c r="I125" t="s">
        <v>289</v>
      </c>
      <c r="J125">
        <v>3.0000000000000001E-3</v>
      </c>
      <c r="K125">
        <f t="shared" si="1"/>
        <v>-2.5228787452803374</v>
      </c>
      <c r="M125">
        <v>2.7E-2</v>
      </c>
      <c r="O125" t="s">
        <v>281</v>
      </c>
      <c r="P125">
        <v>1981</v>
      </c>
      <c r="Q125" t="b">
        <v>0</v>
      </c>
    </row>
    <row r="126" spans="1:17" x14ac:dyDescent="0.2">
      <c r="A126" t="s">
        <v>31</v>
      </c>
      <c r="B126" t="s">
        <v>286</v>
      </c>
      <c r="D126" t="b">
        <v>1</v>
      </c>
      <c r="E126" t="b">
        <v>1</v>
      </c>
      <c r="F126" t="s">
        <v>19</v>
      </c>
      <c r="H126" t="s">
        <v>279</v>
      </c>
      <c r="I126" t="s">
        <v>160</v>
      </c>
      <c r="J126">
        <v>8.0000000000000002E-3</v>
      </c>
      <c r="K126">
        <f t="shared" si="1"/>
        <v>-2.0969100130080562</v>
      </c>
      <c r="M126">
        <v>1.4999999999999999E-2</v>
      </c>
      <c r="O126" t="s">
        <v>281</v>
      </c>
      <c r="P126">
        <v>1981</v>
      </c>
      <c r="Q126" t="b">
        <v>0</v>
      </c>
    </row>
    <row r="127" spans="1:17" x14ac:dyDescent="0.2">
      <c r="A127" t="s">
        <v>25</v>
      </c>
      <c r="B127" t="s">
        <v>282</v>
      </c>
      <c r="D127" t="b">
        <v>1</v>
      </c>
      <c r="E127" t="b">
        <v>1</v>
      </c>
      <c r="F127" t="s">
        <v>19</v>
      </c>
      <c r="G127">
        <v>4</v>
      </c>
      <c r="H127" t="s">
        <v>290</v>
      </c>
      <c r="I127" t="s">
        <v>291</v>
      </c>
      <c r="J127">
        <v>2.2000000000000002</v>
      </c>
      <c r="K127">
        <f t="shared" si="1"/>
        <v>0.34242268082220628</v>
      </c>
      <c r="M127">
        <v>1.4999999999999999E-2</v>
      </c>
      <c r="O127" t="s">
        <v>292</v>
      </c>
      <c r="P127">
        <v>1981</v>
      </c>
      <c r="Q127" t="b">
        <v>0</v>
      </c>
    </row>
    <row r="128" spans="1:17" x14ac:dyDescent="0.2">
      <c r="A128" t="s">
        <v>25</v>
      </c>
      <c r="B128" t="s">
        <v>282</v>
      </c>
      <c r="D128" t="b">
        <v>1</v>
      </c>
      <c r="E128" t="b">
        <v>1</v>
      </c>
      <c r="F128" t="s">
        <v>19</v>
      </c>
      <c r="G128">
        <v>8</v>
      </c>
      <c r="H128" t="s">
        <v>290</v>
      </c>
      <c r="I128" t="s">
        <v>293</v>
      </c>
      <c r="J128">
        <v>1.9</v>
      </c>
      <c r="K128">
        <f t="shared" si="1"/>
        <v>0.27875360095282892</v>
      </c>
      <c r="M128">
        <v>1.4999999999999999E-2</v>
      </c>
      <c r="O128" t="s">
        <v>292</v>
      </c>
      <c r="P128">
        <v>1981</v>
      </c>
      <c r="Q128" t="b">
        <v>0</v>
      </c>
    </row>
    <row r="129" spans="1:17" x14ac:dyDescent="0.2">
      <c r="A129" t="s">
        <v>25</v>
      </c>
      <c r="B129" t="s">
        <v>282</v>
      </c>
      <c r="D129" t="b">
        <v>1</v>
      </c>
      <c r="E129" t="b">
        <v>1</v>
      </c>
      <c r="F129" t="s">
        <v>19</v>
      </c>
      <c r="G129">
        <v>12.5</v>
      </c>
      <c r="H129" t="s">
        <v>290</v>
      </c>
      <c r="I129" t="s">
        <v>294</v>
      </c>
      <c r="J129">
        <v>2.1</v>
      </c>
      <c r="K129">
        <f t="shared" si="1"/>
        <v>0.3222192947339193</v>
      </c>
      <c r="M129">
        <v>3.3000000000000002E-2</v>
      </c>
      <c r="O129" t="s">
        <v>292</v>
      </c>
      <c r="P129">
        <v>1981</v>
      </c>
      <c r="Q129" t="b">
        <v>0</v>
      </c>
    </row>
    <row r="130" spans="1:17" x14ac:dyDescent="0.2">
      <c r="A130" t="s">
        <v>25</v>
      </c>
      <c r="B130" t="s">
        <v>282</v>
      </c>
      <c r="D130" t="b">
        <v>1</v>
      </c>
      <c r="E130" t="b">
        <v>1</v>
      </c>
      <c r="F130" t="s">
        <v>19</v>
      </c>
      <c r="G130">
        <v>20</v>
      </c>
      <c r="H130" t="s">
        <v>290</v>
      </c>
      <c r="I130" t="s">
        <v>295</v>
      </c>
      <c r="J130">
        <v>4</v>
      </c>
      <c r="K130">
        <f t="shared" si="1"/>
        <v>0.6020599913279624</v>
      </c>
      <c r="M130">
        <v>0.03</v>
      </c>
      <c r="O130" t="s">
        <v>292</v>
      </c>
      <c r="P130">
        <v>1981</v>
      </c>
      <c r="Q130" t="b">
        <v>0</v>
      </c>
    </row>
    <row r="131" spans="1:17" x14ac:dyDescent="0.2">
      <c r="A131" t="s">
        <v>25</v>
      </c>
      <c r="B131" t="s">
        <v>282</v>
      </c>
      <c r="D131" t="b">
        <v>1</v>
      </c>
      <c r="E131" t="b">
        <v>1</v>
      </c>
      <c r="F131" t="s">
        <v>19</v>
      </c>
      <c r="G131">
        <v>24</v>
      </c>
      <c r="H131" t="s">
        <v>290</v>
      </c>
      <c r="I131" t="s">
        <v>296</v>
      </c>
      <c r="J131">
        <v>11</v>
      </c>
      <c r="K131">
        <f t="shared" si="1"/>
        <v>1.0413926851582251</v>
      </c>
      <c r="M131">
        <v>2.8000000000000001E-2</v>
      </c>
      <c r="O131" t="s">
        <v>292</v>
      </c>
      <c r="P131">
        <v>1981</v>
      </c>
      <c r="Q131" t="b">
        <v>0</v>
      </c>
    </row>
    <row r="132" spans="1:17" x14ac:dyDescent="0.2">
      <c r="A132" t="s">
        <v>25</v>
      </c>
      <c r="B132" t="s">
        <v>284</v>
      </c>
      <c r="D132" t="b">
        <v>1</v>
      </c>
      <c r="E132" t="b">
        <v>1</v>
      </c>
      <c r="F132" t="s">
        <v>19</v>
      </c>
      <c r="G132">
        <v>8</v>
      </c>
      <c r="H132" t="s">
        <v>290</v>
      </c>
      <c r="I132" t="s">
        <v>263</v>
      </c>
      <c r="J132">
        <v>5.7</v>
      </c>
      <c r="K132">
        <f t="shared" si="1"/>
        <v>0.75587485567249146</v>
      </c>
      <c r="M132">
        <v>6.7000000000000002E-3</v>
      </c>
      <c r="O132" t="s">
        <v>292</v>
      </c>
      <c r="P132">
        <v>1981</v>
      </c>
      <c r="Q132" t="b">
        <v>0</v>
      </c>
    </row>
    <row r="133" spans="1:17" x14ac:dyDescent="0.2">
      <c r="A133" t="s">
        <v>25</v>
      </c>
      <c r="B133" t="s">
        <v>284</v>
      </c>
      <c r="D133" t="b">
        <v>1</v>
      </c>
      <c r="E133" t="b">
        <v>1</v>
      </c>
      <c r="F133" t="s">
        <v>19</v>
      </c>
      <c r="G133">
        <v>12.5</v>
      </c>
      <c r="H133" t="s">
        <v>290</v>
      </c>
      <c r="I133" t="s">
        <v>297</v>
      </c>
      <c r="J133">
        <v>4.5</v>
      </c>
      <c r="K133">
        <f t="shared" si="1"/>
        <v>0.65321251377534373</v>
      </c>
      <c r="M133">
        <v>0.03</v>
      </c>
      <c r="O133" t="s">
        <v>292</v>
      </c>
      <c r="P133">
        <v>1981</v>
      </c>
      <c r="Q133" t="b">
        <v>0</v>
      </c>
    </row>
    <row r="134" spans="1:17" x14ac:dyDescent="0.2">
      <c r="A134" t="s">
        <v>25</v>
      </c>
      <c r="B134" t="s">
        <v>284</v>
      </c>
      <c r="D134" t="b">
        <v>1</v>
      </c>
      <c r="E134" t="b">
        <v>1</v>
      </c>
      <c r="F134" t="s">
        <v>19</v>
      </c>
      <c r="G134">
        <v>20</v>
      </c>
      <c r="H134" t="s">
        <v>290</v>
      </c>
      <c r="I134" t="s">
        <v>298</v>
      </c>
      <c r="J134">
        <v>6.11</v>
      </c>
      <c r="K134">
        <f t="shared" si="1"/>
        <v>0.78604121024255424</v>
      </c>
      <c r="M134">
        <v>2.7E-2</v>
      </c>
      <c r="O134" t="s">
        <v>292</v>
      </c>
      <c r="P134">
        <v>1981</v>
      </c>
      <c r="Q134" t="b">
        <v>0</v>
      </c>
    </row>
    <row r="135" spans="1:17" x14ac:dyDescent="0.2">
      <c r="A135" t="s">
        <v>25</v>
      </c>
      <c r="B135" t="s">
        <v>284</v>
      </c>
      <c r="D135" t="b">
        <v>1</v>
      </c>
      <c r="E135" t="b">
        <v>1</v>
      </c>
      <c r="F135" t="s">
        <v>19</v>
      </c>
      <c r="G135">
        <v>24</v>
      </c>
      <c r="H135" t="s">
        <v>290</v>
      </c>
      <c r="I135" t="s">
        <v>299</v>
      </c>
      <c r="J135">
        <v>4.9000000000000004</v>
      </c>
      <c r="K135">
        <f t="shared" si="1"/>
        <v>0.69019608002851374</v>
      </c>
      <c r="M135">
        <v>3.3000000000000002E-2</v>
      </c>
      <c r="O135" t="s">
        <v>292</v>
      </c>
      <c r="P135">
        <v>1981</v>
      </c>
      <c r="Q135" t="b">
        <v>0</v>
      </c>
    </row>
    <row r="136" spans="1:17" x14ac:dyDescent="0.2">
      <c r="A136" t="s">
        <v>16</v>
      </c>
      <c r="B136" t="s">
        <v>17</v>
      </c>
      <c r="C136" t="s">
        <v>300</v>
      </c>
      <c r="D136" t="b">
        <v>0</v>
      </c>
      <c r="E136" t="b">
        <v>0</v>
      </c>
      <c r="F136" t="s">
        <v>19</v>
      </c>
      <c r="G136">
        <v>37</v>
      </c>
      <c r="H136" t="s">
        <v>20</v>
      </c>
      <c r="I136" t="s">
        <v>301</v>
      </c>
      <c r="J136">
        <v>0.40400000000000003</v>
      </c>
      <c r="K136">
        <f t="shared" si="1"/>
        <v>-0.39361863488939502</v>
      </c>
      <c r="M136">
        <v>0.77259999999999995</v>
      </c>
      <c r="N136" t="s">
        <v>302</v>
      </c>
      <c r="O136" t="s">
        <v>303</v>
      </c>
      <c r="P136">
        <v>1994</v>
      </c>
      <c r="Q136" t="b">
        <v>0</v>
      </c>
    </row>
    <row r="137" spans="1:17" x14ac:dyDescent="0.2">
      <c r="A137" t="s">
        <v>16</v>
      </c>
      <c r="B137" t="s">
        <v>17</v>
      </c>
      <c r="C137" t="s">
        <v>304</v>
      </c>
      <c r="D137" t="b">
        <v>0</v>
      </c>
      <c r="E137" t="b">
        <v>0</v>
      </c>
      <c r="F137" t="s">
        <v>19</v>
      </c>
      <c r="G137">
        <v>37</v>
      </c>
      <c r="H137" t="s">
        <v>20</v>
      </c>
      <c r="I137" t="s">
        <v>305</v>
      </c>
      <c r="J137">
        <v>0.48899999999999999</v>
      </c>
      <c r="K137">
        <f t="shared" si="1"/>
        <v>-0.31069114087637978</v>
      </c>
      <c r="M137">
        <v>0.88870000000000005</v>
      </c>
      <c r="N137" t="s">
        <v>306</v>
      </c>
      <c r="O137" t="s">
        <v>303</v>
      </c>
      <c r="P137">
        <v>1994</v>
      </c>
      <c r="Q137" t="b">
        <v>0</v>
      </c>
    </row>
    <row r="138" spans="1:17" x14ac:dyDescent="0.2">
      <c r="A138" t="s">
        <v>16</v>
      </c>
      <c r="B138" t="s">
        <v>17</v>
      </c>
      <c r="C138" t="s">
        <v>307</v>
      </c>
      <c r="D138" t="b">
        <v>0</v>
      </c>
      <c r="E138" t="b">
        <v>0</v>
      </c>
      <c r="F138" t="s">
        <v>19</v>
      </c>
      <c r="G138">
        <v>37</v>
      </c>
      <c r="H138" t="s">
        <v>20</v>
      </c>
      <c r="I138" t="s">
        <v>308</v>
      </c>
      <c r="J138">
        <v>1</v>
      </c>
      <c r="K138">
        <f t="shared" si="1"/>
        <v>0</v>
      </c>
      <c r="M138">
        <v>1.04</v>
      </c>
      <c r="O138" t="s">
        <v>309</v>
      </c>
      <c r="P138">
        <v>1971</v>
      </c>
      <c r="Q138" t="b">
        <v>0</v>
      </c>
    </row>
    <row r="139" spans="1:17" x14ac:dyDescent="0.2">
      <c r="A139" t="s">
        <v>71</v>
      </c>
      <c r="B139" t="s">
        <v>32</v>
      </c>
      <c r="D139" t="b">
        <v>1</v>
      </c>
      <c r="E139" t="b">
        <v>0</v>
      </c>
      <c r="F139" t="s">
        <v>33</v>
      </c>
      <c r="G139">
        <v>20</v>
      </c>
      <c r="I139" t="s">
        <v>310</v>
      </c>
      <c r="J139">
        <v>1.2</v>
      </c>
      <c r="K139">
        <f t="shared" si="1"/>
        <v>7.9181246047624818E-2</v>
      </c>
      <c r="O139" t="s">
        <v>311</v>
      </c>
      <c r="P139">
        <v>1979</v>
      </c>
      <c r="Q139" t="b">
        <v>0</v>
      </c>
    </row>
    <row r="140" spans="1:17" x14ac:dyDescent="0.2">
      <c r="A140" t="s">
        <v>16</v>
      </c>
      <c r="B140" t="s">
        <v>200</v>
      </c>
      <c r="C140" t="s">
        <v>312</v>
      </c>
      <c r="D140" t="b">
        <v>0</v>
      </c>
      <c r="E140" t="b">
        <v>1</v>
      </c>
      <c r="F140" t="s">
        <v>313</v>
      </c>
      <c r="H140" t="s">
        <v>20</v>
      </c>
      <c r="I140" t="s">
        <v>314</v>
      </c>
      <c r="J140">
        <v>202</v>
      </c>
      <c r="K140">
        <f t="shared" si="1"/>
        <v>2.3053513694466239</v>
      </c>
      <c r="L140">
        <v>0.1</v>
      </c>
      <c r="M140">
        <v>0.433</v>
      </c>
      <c r="N140" t="s">
        <v>315</v>
      </c>
      <c r="O140" t="s">
        <v>316</v>
      </c>
      <c r="P140">
        <v>2013</v>
      </c>
      <c r="Q140" t="b">
        <v>0</v>
      </c>
    </row>
    <row r="141" spans="1:17" x14ac:dyDescent="0.2">
      <c r="A141" t="s">
        <v>16</v>
      </c>
      <c r="B141" t="s">
        <v>200</v>
      </c>
      <c r="C141" t="s">
        <v>317</v>
      </c>
      <c r="D141" t="b">
        <v>0</v>
      </c>
      <c r="E141" t="b">
        <v>1</v>
      </c>
      <c r="F141" t="s">
        <v>313</v>
      </c>
      <c r="H141" t="s">
        <v>20</v>
      </c>
      <c r="I141" t="s">
        <v>318</v>
      </c>
      <c r="J141">
        <v>115</v>
      </c>
      <c r="K141">
        <f t="shared" si="1"/>
        <v>2.0606978403536118</v>
      </c>
      <c r="L141">
        <v>0.1</v>
      </c>
      <c r="M141">
        <v>0.51900000000000002</v>
      </c>
      <c r="N141" t="s">
        <v>315</v>
      </c>
      <c r="O141" t="s">
        <v>316</v>
      </c>
      <c r="P141">
        <v>2013</v>
      </c>
      <c r="Q141" t="b">
        <v>0</v>
      </c>
    </row>
    <row r="142" spans="1:17" x14ac:dyDescent="0.2">
      <c r="A142" t="s">
        <v>16</v>
      </c>
      <c r="B142" t="s">
        <v>200</v>
      </c>
      <c r="C142" t="s">
        <v>319</v>
      </c>
      <c r="D142" t="b">
        <v>0</v>
      </c>
      <c r="E142" t="b">
        <v>1</v>
      </c>
      <c r="F142" t="s">
        <v>313</v>
      </c>
      <c r="H142" t="s">
        <v>20</v>
      </c>
      <c r="I142" t="s">
        <v>320</v>
      </c>
      <c r="J142">
        <v>189</v>
      </c>
      <c r="K142">
        <f t="shared" si="1"/>
        <v>2.2764618041732443</v>
      </c>
      <c r="L142">
        <v>0.1</v>
      </c>
      <c r="M142">
        <v>0.48299999999999998</v>
      </c>
      <c r="N142" t="s">
        <v>315</v>
      </c>
      <c r="O142" t="s">
        <v>316</v>
      </c>
      <c r="P142">
        <v>2013</v>
      </c>
      <c r="Q142" t="b">
        <v>0</v>
      </c>
    </row>
    <row r="143" spans="1:17" x14ac:dyDescent="0.2">
      <c r="A143" t="s">
        <v>16</v>
      </c>
      <c r="B143" t="s">
        <v>200</v>
      </c>
      <c r="C143" t="s">
        <v>321</v>
      </c>
      <c r="D143" t="b">
        <v>0</v>
      </c>
      <c r="E143" t="b">
        <v>1</v>
      </c>
      <c r="F143" t="s">
        <v>313</v>
      </c>
      <c r="H143" t="s">
        <v>20</v>
      </c>
      <c r="I143" t="s">
        <v>322</v>
      </c>
      <c r="J143">
        <v>143</v>
      </c>
      <c r="K143">
        <f t="shared" si="1"/>
        <v>2.1553360374650619</v>
      </c>
      <c r="L143">
        <v>0.1</v>
      </c>
      <c r="M143">
        <v>0.52</v>
      </c>
      <c r="N143" t="s">
        <v>315</v>
      </c>
      <c r="O143" t="s">
        <v>316</v>
      </c>
      <c r="P143">
        <v>2013</v>
      </c>
      <c r="Q143" t="b">
        <v>0</v>
      </c>
    </row>
    <row r="144" spans="1:17" x14ac:dyDescent="0.2">
      <c r="A144" t="s">
        <v>16</v>
      </c>
      <c r="B144" t="s">
        <v>200</v>
      </c>
      <c r="C144" t="s">
        <v>323</v>
      </c>
      <c r="D144" t="b">
        <v>0</v>
      </c>
      <c r="E144" t="b">
        <v>1</v>
      </c>
      <c r="F144" t="s">
        <v>33</v>
      </c>
      <c r="G144">
        <v>30</v>
      </c>
      <c r="H144" t="s">
        <v>324</v>
      </c>
      <c r="I144" t="s">
        <v>325</v>
      </c>
      <c r="J144">
        <v>811.11111111111109</v>
      </c>
      <c r="K144">
        <f t="shared" si="1"/>
        <v>2.9090803506811311</v>
      </c>
      <c r="M144">
        <v>0.49</v>
      </c>
      <c r="O144" t="s">
        <v>326</v>
      </c>
      <c r="P144">
        <v>1990</v>
      </c>
      <c r="Q144" t="b">
        <v>0</v>
      </c>
    </row>
    <row r="145" spans="1:17" x14ac:dyDescent="0.2">
      <c r="A145" t="s">
        <v>16</v>
      </c>
      <c r="B145" t="s">
        <v>200</v>
      </c>
      <c r="C145" t="s">
        <v>216</v>
      </c>
      <c r="D145" t="b">
        <v>0</v>
      </c>
      <c r="E145" t="b">
        <v>1</v>
      </c>
      <c r="F145" t="s">
        <v>33</v>
      </c>
      <c r="G145">
        <v>30</v>
      </c>
      <c r="H145" t="s">
        <v>324</v>
      </c>
      <c r="I145" t="s">
        <v>327</v>
      </c>
      <c r="J145">
        <v>550</v>
      </c>
      <c r="K145">
        <f t="shared" si="1"/>
        <v>2.7403626894942437</v>
      </c>
      <c r="M145">
        <v>0.31</v>
      </c>
      <c r="O145" t="s">
        <v>328</v>
      </c>
      <c r="P145">
        <v>1990</v>
      </c>
      <c r="Q145" t="b">
        <v>0</v>
      </c>
    </row>
    <row r="146" spans="1:17" x14ac:dyDescent="0.2">
      <c r="A146" t="s">
        <v>16</v>
      </c>
      <c r="B146" t="s">
        <v>329</v>
      </c>
      <c r="C146" t="s">
        <v>330</v>
      </c>
      <c r="D146" t="b">
        <v>0</v>
      </c>
      <c r="E146" t="b">
        <v>1</v>
      </c>
      <c r="F146" t="s">
        <v>33</v>
      </c>
      <c r="G146">
        <v>30</v>
      </c>
      <c r="H146" t="s">
        <v>324</v>
      </c>
      <c r="I146" t="s">
        <v>331</v>
      </c>
      <c r="J146">
        <v>116.6666666666667</v>
      </c>
      <c r="K146">
        <f t="shared" si="1"/>
        <v>2.0669467896306135</v>
      </c>
      <c r="M146">
        <v>0.55000000000000004</v>
      </c>
      <c r="O146" t="s">
        <v>332</v>
      </c>
      <c r="P146">
        <v>1980</v>
      </c>
      <c r="Q146" t="b">
        <v>0</v>
      </c>
    </row>
    <row r="147" spans="1:17" x14ac:dyDescent="0.2">
      <c r="A147" t="s">
        <v>43</v>
      </c>
      <c r="B147" t="s">
        <v>333</v>
      </c>
      <c r="D147" t="b">
        <v>1</v>
      </c>
      <c r="E147" t="b">
        <v>1</v>
      </c>
      <c r="F147" t="s">
        <v>19</v>
      </c>
      <c r="G147">
        <v>21</v>
      </c>
      <c r="H147" t="s">
        <v>467</v>
      </c>
      <c r="J147">
        <v>2.7</v>
      </c>
      <c r="K147">
        <f t="shared" si="1"/>
        <v>0.43136376415898736</v>
      </c>
      <c r="M147">
        <v>1.7999999999999999E-2</v>
      </c>
      <c r="O147" t="s">
        <v>334</v>
      </c>
      <c r="P147">
        <v>2012</v>
      </c>
      <c r="Q147" t="b">
        <v>1</v>
      </c>
    </row>
    <row r="148" spans="1:17" x14ac:dyDescent="0.2">
      <c r="A148" t="s">
        <v>43</v>
      </c>
      <c r="B148" t="s">
        <v>335</v>
      </c>
      <c r="D148" t="b">
        <v>1</v>
      </c>
      <c r="E148" t="b">
        <v>1</v>
      </c>
      <c r="F148" t="s">
        <v>19</v>
      </c>
      <c r="G148">
        <v>20</v>
      </c>
      <c r="H148" t="s">
        <v>20</v>
      </c>
      <c r="J148">
        <v>3.3</v>
      </c>
      <c r="K148">
        <f t="shared" si="1"/>
        <v>0.51851393987788741</v>
      </c>
      <c r="M148">
        <v>2.3E-2</v>
      </c>
      <c r="O148" t="s">
        <v>336</v>
      </c>
      <c r="P148">
        <v>1999</v>
      </c>
      <c r="Q148" t="b">
        <v>1</v>
      </c>
    </row>
    <row r="149" spans="1:17" x14ac:dyDescent="0.2">
      <c r="A149" t="s">
        <v>43</v>
      </c>
      <c r="B149" t="s">
        <v>337</v>
      </c>
      <c r="D149" t="b">
        <v>1</v>
      </c>
      <c r="E149" t="b">
        <v>1</v>
      </c>
      <c r="F149" t="s">
        <v>33</v>
      </c>
      <c r="G149">
        <v>22</v>
      </c>
      <c r="H149" t="s">
        <v>468</v>
      </c>
      <c r="J149">
        <v>16</v>
      </c>
      <c r="K149">
        <f t="shared" si="1"/>
        <v>1.2041199826559248</v>
      </c>
      <c r="M149">
        <v>2.8000000000000001E-2</v>
      </c>
      <c r="O149" t="s">
        <v>338</v>
      </c>
      <c r="P149">
        <v>1999</v>
      </c>
      <c r="Q149" t="b">
        <v>1</v>
      </c>
    </row>
    <row r="150" spans="1:17" x14ac:dyDescent="0.2">
      <c r="A150" t="s">
        <v>43</v>
      </c>
      <c r="B150" t="s">
        <v>339</v>
      </c>
      <c r="C150" t="s">
        <v>340</v>
      </c>
      <c r="D150" t="b">
        <v>1</v>
      </c>
      <c r="E150" t="b">
        <v>1</v>
      </c>
      <c r="F150" t="s">
        <v>33</v>
      </c>
      <c r="G150">
        <v>5</v>
      </c>
      <c r="H150" t="s">
        <v>468</v>
      </c>
      <c r="J150">
        <v>2.5</v>
      </c>
      <c r="K150">
        <f t="shared" si="1"/>
        <v>0.3979400086720376</v>
      </c>
      <c r="M150">
        <v>3.3000000000000002E-2</v>
      </c>
      <c r="O150" t="s">
        <v>338</v>
      </c>
      <c r="P150">
        <v>1999</v>
      </c>
      <c r="Q150" t="b">
        <v>1</v>
      </c>
    </row>
    <row r="151" spans="1:17" x14ac:dyDescent="0.2">
      <c r="A151" t="s">
        <v>43</v>
      </c>
      <c r="B151" t="s">
        <v>341</v>
      </c>
      <c r="C151" t="s">
        <v>342</v>
      </c>
      <c r="D151" t="b">
        <v>1</v>
      </c>
      <c r="E151" t="b">
        <v>1</v>
      </c>
      <c r="F151" t="s">
        <v>33</v>
      </c>
      <c r="G151">
        <v>20</v>
      </c>
      <c r="H151" t="s">
        <v>468</v>
      </c>
      <c r="J151">
        <v>30</v>
      </c>
      <c r="K151">
        <f t="shared" ref="K151:K214" si="2">LOG(J151)</f>
        <v>1.4771212547196624</v>
      </c>
      <c r="M151">
        <v>8.6999999999999994E-2</v>
      </c>
      <c r="O151" t="s">
        <v>338</v>
      </c>
      <c r="P151">
        <v>1999</v>
      </c>
      <c r="Q151" t="b">
        <v>1</v>
      </c>
    </row>
    <row r="152" spans="1:17" x14ac:dyDescent="0.2">
      <c r="A152" t="s">
        <v>43</v>
      </c>
      <c r="B152" t="s">
        <v>337</v>
      </c>
      <c r="D152" t="b">
        <v>1</v>
      </c>
      <c r="E152" t="b">
        <v>1</v>
      </c>
      <c r="F152" t="s">
        <v>33</v>
      </c>
      <c r="G152">
        <v>17</v>
      </c>
      <c r="H152" t="s">
        <v>468</v>
      </c>
      <c r="J152">
        <v>14</v>
      </c>
      <c r="K152">
        <f t="shared" si="2"/>
        <v>1.146128035678238</v>
      </c>
      <c r="M152">
        <v>2.5000000000000001E-2</v>
      </c>
      <c r="O152" t="s">
        <v>338</v>
      </c>
      <c r="P152">
        <v>1999</v>
      </c>
      <c r="Q152" t="b">
        <v>1</v>
      </c>
    </row>
    <row r="153" spans="1:17" x14ac:dyDescent="0.2">
      <c r="A153" t="s">
        <v>43</v>
      </c>
      <c r="B153" t="s">
        <v>339</v>
      </c>
      <c r="C153" t="s">
        <v>340</v>
      </c>
      <c r="D153" t="b">
        <v>1</v>
      </c>
      <c r="E153" t="b">
        <v>1</v>
      </c>
      <c r="F153" t="s">
        <v>33</v>
      </c>
      <c r="G153">
        <v>3</v>
      </c>
      <c r="H153" t="s">
        <v>468</v>
      </c>
      <c r="J153">
        <v>4.2</v>
      </c>
      <c r="K153">
        <f t="shared" si="2"/>
        <v>0.62324929039790045</v>
      </c>
      <c r="M153">
        <v>2.9000000000000001E-2</v>
      </c>
      <c r="O153" t="s">
        <v>338</v>
      </c>
      <c r="P153">
        <v>1999</v>
      </c>
      <c r="Q153" t="b">
        <v>1</v>
      </c>
    </row>
    <row r="154" spans="1:17" x14ac:dyDescent="0.2">
      <c r="A154" t="s">
        <v>43</v>
      </c>
      <c r="B154" t="s">
        <v>341</v>
      </c>
      <c r="C154" t="s">
        <v>342</v>
      </c>
      <c r="D154" t="b">
        <v>1</v>
      </c>
      <c r="E154" t="b">
        <v>1</v>
      </c>
      <c r="F154" t="s">
        <v>33</v>
      </c>
      <c r="G154">
        <v>15</v>
      </c>
      <c r="H154" t="s">
        <v>468</v>
      </c>
      <c r="J154">
        <v>18</v>
      </c>
      <c r="K154">
        <f t="shared" si="2"/>
        <v>1.255272505103306</v>
      </c>
      <c r="M154">
        <v>5.8999999999999997E-2</v>
      </c>
      <c r="O154" t="s">
        <v>338</v>
      </c>
      <c r="P154">
        <v>1999</v>
      </c>
      <c r="Q154" t="b">
        <v>1</v>
      </c>
    </row>
    <row r="155" spans="1:17" x14ac:dyDescent="0.2">
      <c r="A155" t="s">
        <v>43</v>
      </c>
      <c r="B155" t="s">
        <v>337</v>
      </c>
      <c r="D155" t="b">
        <v>1</v>
      </c>
      <c r="E155" t="b">
        <v>1</v>
      </c>
      <c r="F155" t="s">
        <v>33</v>
      </c>
      <c r="G155">
        <v>12</v>
      </c>
      <c r="H155" t="s">
        <v>468</v>
      </c>
      <c r="J155">
        <v>5.3</v>
      </c>
      <c r="K155">
        <f t="shared" si="2"/>
        <v>0.72427586960078905</v>
      </c>
      <c r="M155">
        <v>1.9E-2</v>
      </c>
      <c r="O155" t="s">
        <v>338</v>
      </c>
      <c r="P155">
        <v>1999</v>
      </c>
      <c r="Q155" t="b">
        <v>1</v>
      </c>
    </row>
    <row r="156" spans="1:17" x14ac:dyDescent="0.2">
      <c r="A156" t="s">
        <v>43</v>
      </c>
      <c r="B156" t="s">
        <v>341</v>
      </c>
      <c r="C156" t="s">
        <v>342</v>
      </c>
      <c r="D156" t="b">
        <v>1</v>
      </c>
      <c r="E156" t="b">
        <v>1</v>
      </c>
      <c r="F156" t="s">
        <v>33</v>
      </c>
      <c r="G156">
        <v>10</v>
      </c>
      <c r="H156" t="s">
        <v>468</v>
      </c>
      <c r="J156">
        <v>18</v>
      </c>
      <c r="K156">
        <f t="shared" si="2"/>
        <v>1.255272505103306</v>
      </c>
      <c r="M156">
        <v>5.8000000000000003E-2</v>
      </c>
      <c r="O156" t="s">
        <v>338</v>
      </c>
      <c r="P156">
        <v>1999</v>
      </c>
      <c r="Q156" t="b">
        <v>1</v>
      </c>
    </row>
    <row r="157" spans="1:17" x14ac:dyDescent="0.2">
      <c r="A157" t="s">
        <v>43</v>
      </c>
      <c r="B157" t="s">
        <v>341</v>
      </c>
      <c r="C157" t="s">
        <v>342</v>
      </c>
      <c r="D157" t="b">
        <v>1</v>
      </c>
      <c r="E157" t="b">
        <v>1</v>
      </c>
      <c r="F157" t="s">
        <v>33</v>
      </c>
      <c r="G157">
        <v>25</v>
      </c>
      <c r="H157" t="s">
        <v>468</v>
      </c>
      <c r="J157">
        <v>30</v>
      </c>
      <c r="K157">
        <f t="shared" si="2"/>
        <v>1.4771212547196624</v>
      </c>
      <c r="M157">
        <v>5.8000000000000003E-2</v>
      </c>
      <c r="O157" t="s">
        <v>338</v>
      </c>
      <c r="P157">
        <v>1999</v>
      </c>
      <c r="Q157" t="b">
        <v>1</v>
      </c>
    </row>
    <row r="158" spans="1:17" x14ac:dyDescent="0.2">
      <c r="A158" t="s">
        <v>43</v>
      </c>
      <c r="B158" t="s">
        <v>53</v>
      </c>
      <c r="D158" t="b">
        <v>1</v>
      </c>
      <c r="E158" t="b">
        <v>1</v>
      </c>
      <c r="F158" t="s">
        <v>19</v>
      </c>
      <c r="G158">
        <v>20</v>
      </c>
      <c r="J158">
        <v>0.37</v>
      </c>
      <c r="K158">
        <f t="shared" si="2"/>
        <v>-0.43179827593300502</v>
      </c>
      <c r="M158">
        <v>5.7000000000000002E-2</v>
      </c>
      <c r="O158" t="s">
        <v>343</v>
      </c>
      <c r="P158">
        <v>1975</v>
      </c>
      <c r="Q158" t="b">
        <v>1</v>
      </c>
    </row>
    <row r="159" spans="1:17" x14ac:dyDescent="0.2">
      <c r="A159" t="s">
        <v>43</v>
      </c>
      <c r="B159" t="s">
        <v>53</v>
      </c>
      <c r="D159" t="b">
        <v>1</v>
      </c>
      <c r="E159" t="b">
        <v>1</v>
      </c>
      <c r="F159" t="s">
        <v>19</v>
      </c>
      <c r="G159">
        <v>24</v>
      </c>
      <c r="J159">
        <v>0.38</v>
      </c>
      <c r="K159">
        <f t="shared" si="2"/>
        <v>-0.42021640338318983</v>
      </c>
      <c r="M159">
        <v>8.3000000000000004E-2</v>
      </c>
      <c r="O159" t="s">
        <v>343</v>
      </c>
      <c r="P159">
        <v>1975</v>
      </c>
      <c r="Q159" t="b">
        <v>1</v>
      </c>
    </row>
    <row r="160" spans="1:17" x14ac:dyDescent="0.2">
      <c r="A160" t="s">
        <v>43</v>
      </c>
      <c r="B160" t="s">
        <v>53</v>
      </c>
      <c r="D160" t="b">
        <v>1</v>
      </c>
      <c r="E160" t="b">
        <v>1</v>
      </c>
      <c r="F160" t="s">
        <v>19</v>
      </c>
      <c r="G160">
        <v>27</v>
      </c>
      <c r="J160">
        <v>0.38</v>
      </c>
      <c r="K160">
        <f t="shared" si="2"/>
        <v>-0.42021640338318983</v>
      </c>
      <c r="M160">
        <v>5.8999999999999997E-2</v>
      </c>
      <c r="O160" t="s">
        <v>343</v>
      </c>
      <c r="P160">
        <v>1975</v>
      </c>
      <c r="Q160" t="b">
        <v>1</v>
      </c>
    </row>
    <row r="161" spans="1:17" x14ac:dyDescent="0.2">
      <c r="A161" t="s">
        <v>43</v>
      </c>
      <c r="B161" t="s">
        <v>53</v>
      </c>
      <c r="D161" t="b">
        <v>1</v>
      </c>
      <c r="E161" t="b">
        <v>1</v>
      </c>
      <c r="F161" t="s">
        <v>19</v>
      </c>
      <c r="G161">
        <v>28</v>
      </c>
      <c r="J161">
        <v>0.38</v>
      </c>
      <c r="K161">
        <f t="shared" si="2"/>
        <v>-0.42021640338318983</v>
      </c>
      <c r="M161">
        <v>5.8000000000000003E-2</v>
      </c>
      <c r="O161" t="s">
        <v>343</v>
      </c>
      <c r="P161">
        <v>1975</v>
      </c>
      <c r="Q161" t="b">
        <v>1</v>
      </c>
    </row>
    <row r="162" spans="1:17" x14ac:dyDescent="0.2">
      <c r="A162" t="s">
        <v>43</v>
      </c>
      <c r="B162" t="s">
        <v>53</v>
      </c>
      <c r="D162" t="b">
        <v>1</v>
      </c>
      <c r="E162" t="b">
        <v>1</v>
      </c>
      <c r="F162" t="s">
        <v>19</v>
      </c>
      <c r="G162">
        <v>33</v>
      </c>
      <c r="J162">
        <v>0.39</v>
      </c>
      <c r="K162">
        <f t="shared" si="2"/>
        <v>-0.40893539297350079</v>
      </c>
      <c r="M162">
        <v>5.2999999999999999E-2</v>
      </c>
      <c r="O162" t="s">
        <v>343</v>
      </c>
      <c r="P162">
        <v>1975</v>
      </c>
      <c r="Q162" t="b">
        <v>1</v>
      </c>
    </row>
    <row r="163" spans="1:17" x14ac:dyDescent="0.2">
      <c r="A163" t="s">
        <v>43</v>
      </c>
      <c r="B163" t="s">
        <v>53</v>
      </c>
      <c r="D163" t="b">
        <v>1</v>
      </c>
      <c r="E163" t="b">
        <v>1</v>
      </c>
      <c r="F163" t="s">
        <v>470</v>
      </c>
      <c r="G163">
        <v>20</v>
      </c>
      <c r="H163" t="s">
        <v>469</v>
      </c>
      <c r="J163">
        <v>2.8999999999999998E-3</v>
      </c>
      <c r="K163">
        <f t="shared" si="2"/>
        <v>-2.5376020021010439</v>
      </c>
      <c r="M163">
        <v>4.9000000000000002E-2</v>
      </c>
      <c r="O163" t="s">
        <v>344</v>
      </c>
      <c r="P163">
        <v>1978</v>
      </c>
      <c r="Q163" t="b">
        <v>1</v>
      </c>
    </row>
    <row r="164" spans="1:17" x14ac:dyDescent="0.2">
      <c r="A164" t="s">
        <v>43</v>
      </c>
      <c r="B164" t="s">
        <v>345</v>
      </c>
      <c r="C164" t="s">
        <v>346</v>
      </c>
      <c r="D164" t="b">
        <v>1</v>
      </c>
      <c r="E164" t="b">
        <v>1</v>
      </c>
      <c r="F164" t="s">
        <v>19</v>
      </c>
      <c r="G164">
        <v>20</v>
      </c>
      <c r="H164" t="s">
        <v>471</v>
      </c>
      <c r="J164">
        <v>1</v>
      </c>
      <c r="K164">
        <f t="shared" si="2"/>
        <v>0</v>
      </c>
      <c r="M164">
        <v>1.4E-2</v>
      </c>
      <c r="O164" t="s">
        <v>347</v>
      </c>
      <c r="P164">
        <v>2005</v>
      </c>
      <c r="Q164" t="b">
        <v>1</v>
      </c>
    </row>
    <row r="165" spans="1:17" x14ac:dyDescent="0.2">
      <c r="A165" t="s">
        <v>43</v>
      </c>
      <c r="B165" t="s">
        <v>348</v>
      </c>
      <c r="C165" t="s">
        <v>349</v>
      </c>
      <c r="D165" t="b">
        <v>1</v>
      </c>
      <c r="E165" t="b">
        <v>1</v>
      </c>
      <c r="F165" t="s">
        <v>19</v>
      </c>
      <c r="G165">
        <v>20</v>
      </c>
      <c r="H165" t="s">
        <v>471</v>
      </c>
      <c r="J165">
        <v>1</v>
      </c>
      <c r="K165">
        <f t="shared" si="2"/>
        <v>0</v>
      </c>
      <c r="M165">
        <v>2.8000000000000001E-2</v>
      </c>
      <c r="O165" t="s">
        <v>347</v>
      </c>
      <c r="P165">
        <v>2005</v>
      </c>
      <c r="Q165" t="b">
        <v>1</v>
      </c>
    </row>
    <row r="166" spans="1:17" x14ac:dyDescent="0.2">
      <c r="A166" t="s">
        <v>43</v>
      </c>
      <c r="B166" t="s">
        <v>350</v>
      </c>
      <c r="C166" t="s">
        <v>351</v>
      </c>
      <c r="D166" t="b">
        <v>1</v>
      </c>
      <c r="E166" t="b">
        <v>0</v>
      </c>
      <c r="F166" t="s">
        <v>19</v>
      </c>
      <c r="G166">
        <v>20</v>
      </c>
      <c r="H166" t="s">
        <v>471</v>
      </c>
      <c r="J166">
        <v>2.6</v>
      </c>
      <c r="K166">
        <f t="shared" si="2"/>
        <v>0.41497334797081797</v>
      </c>
      <c r="M166">
        <v>1.7999999999999999E-2</v>
      </c>
      <c r="O166" t="s">
        <v>347</v>
      </c>
      <c r="P166">
        <v>2005</v>
      </c>
      <c r="Q166" t="b">
        <v>1</v>
      </c>
    </row>
    <row r="167" spans="1:17" x14ac:dyDescent="0.2">
      <c r="A167" t="s">
        <v>31</v>
      </c>
      <c r="B167" t="s">
        <v>352</v>
      </c>
      <c r="D167" t="b">
        <v>1</v>
      </c>
      <c r="E167" t="b">
        <v>0</v>
      </c>
      <c r="G167">
        <v>24</v>
      </c>
      <c r="J167">
        <v>3.5999999999999997E-2</v>
      </c>
      <c r="K167">
        <f t="shared" si="2"/>
        <v>-1.4436974992327127</v>
      </c>
      <c r="M167">
        <v>2.3E-2</v>
      </c>
      <c r="O167" t="s">
        <v>353</v>
      </c>
      <c r="P167">
        <v>1977</v>
      </c>
      <c r="Q167" t="b">
        <v>1</v>
      </c>
    </row>
    <row r="168" spans="1:17" x14ac:dyDescent="0.2">
      <c r="A168" t="s">
        <v>31</v>
      </c>
      <c r="B168" t="s">
        <v>352</v>
      </c>
      <c r="D168" t="b">
        <v>1</v>
      </c>
      <c r="E168" t="b">
        <v>0</v>
      </c>
      <c r="G168">
        <v>15.5</v>
      </c>
      <c r="H168" t="s">
        <v>34</v>
      </c>
      <c r="J168">
        <v>2.8000000000000001E-2</v>
      </c>
      <c r="K168">
        <f t="shared" si="2"/>
        <v>-1.5528419686577808</v>
      </c>
      <c r="M168">
        <v>2.7E-2</v>
      </c>
      <c r="N168" t="s">
        <v>35</v>
      </c>
      <c r="O168" t="s">
        <v>354</v>
      </c>
      <c r="P168">
        <v>1978</v>
      </c>
      <c r="Q168" t="b">
        <v>1</v>
      </c>
    </row>
    <row r="169" spans="1:17" x14ac:dyDescent="0.2">
      <c r="A169" t="s">
        <v>31</v>
      </c>
      <c r="B169" t="s">
        <v>352</v>
      </c>
      <c r="D169" t="b">
        <v>1</v>
      </c>
      <c r="E169" t="b">
        <v>0</v>
      </c>
      <c r="G169">
        <v>20.5</v>
      </c>
      <c r="H169" t="s">
        <v>34</v>
      </c>
      <c r="J169">
        <v>8.9999999999999993E-3</v>
      </c>
      <c r="K169">
        <f t="shared" si="2"/>
        <v>-2.0457574905606752</v>
      </c>
      <c r="M169">
        <v>2.5000000000000001E-2</v>
      </c>
      <c r="N169" t="s">
        <v>37</v>
      </c>
      <c r="O169" t="s">
        <v>354</v>
      </c>
      <c r="P169">
        <v>1978</v>
      </c>
      <c r="Q169" t="b">
        <v>1</v>
      </c>
    </row>
    <row r="170" spans="1:17" x14ac:dyDescent="0.2">
      <c r="A170" t="s">
        <v>31</v>
      </c>
      <c r="B170" t="s">
        <v>352</v>
      </c>
      <c r="D170" t="b">
        <v>1</v>
      </c>
      <c r="E170" t="b">
        <v>0</v>
      </c>
      <c r="G170">
        <v>25.5</v>
      </c>
      <c r="H170" t="s">
        <v>34</v>
      </c>
      <c r="J170">
        <v>1.7000000000000001E-2</v>
      </c>
      <c r="K170">
        <f t="shared" si="2"/>
        <v>-1.7695510786217261</v>
      </c>
      <c r="M170">
        <v>0.02</v>
      </c>
      <c r="N170" t="s">
        <v>38</v>
      </c>
      <c r="O170" t="s">
        <v>354</v>
      </c>
      <c r="P170">
        <v>1978</v>
      </c>
      <c r="Q170" t="b">
        <v>1</v>
      </c>
    </row>
    <row r="171" spans="1:17" x14ac:dyDescent="0.2">
      <c r="A171" t="s">
        <v>31</v>
      </c>
      <c r="B171" t="s">
        <v>355</v>
      </c>
      <c r="D171" t="b">
        <v>1</v>
      </c>
      <c r="E171" t="b">
        <v>1</v>
      </c>
      <c r="F171" t="s">
        <v>33</v>
      </c>
      <c r="G171">
        <v>5</v>
      </c>
      <c r="H171" t="s">
        <v>34</v>
      </c>
      <c r="J171">
        <v>1.9E-2</v>
      </c>
      <c r="K171">
        <f t="shared" si="2"/>
        <v>-1.7212463990471711</v>
      </c>
      <c r="M171">
        <v>1.2E-2</v>
      </c>
      <c r="O171" t="s">
        <v>356</v>
      </c>
      <c r="P171">
        <v>1987</v>
      </c>
      <c r="Q171" t="b">
        <v>1</v>
      </c>
    </row>
    <row r="172" spans="1:17" x14ac:dyDescent="0.2">
      <c r="A172" t="s">
        <v>31</v>
      </c>
      <c r="B172" t="s">
        <v>355</v>
      </c>
      <c r="D172" t="b">
        <v>1</v>
      </c>
      <c r="E172" t="b">
        <v>1</v>
      </c>
      <c r="F172" t="s">
        <v>33</v>
      </c>
      <c r="G172">
        <v>10</v>
      </c>
      <c r="H172" t="s">
        <v>34</v>
      </c>
      <c r="J172">
        <v>1.2E-2</v>
      </c>
      <c r="K172">
        <f t="shared" si="2"/>
        <v>-1.9208187539523751</v>
      </c>
      <c r="M172">
        <v>1.4999999999999999E-2</v>
      </c>
      <c r="O172" t="s">
        <v>356</v>
      </c>
      <c r="P172">
        <v>1987</v>
      </c>
      <c r="Q172" t="b">
        <v>1</v>
      </c>
    </row>
    <row r="173" spans="1:17" x14ac:dyDescent="0.2">
      <c r="A173" t="s">
        <v>31</v>
      </c>
      <c r="B173" t="s">
        <v>355</v>
      </c>
      <c r="D173" t="b">
        <v>1</v>
      </c>
      <c r="E173" t="b">
        <v>1</v>
      </c>
      <c r="F173" t="s">
        <v>33</v>
      </c>
      <c r="G173">
        <v>15</v>
      </c>
      <c r="H173" t="s">
        <v>34</v>
      </c>
      <c r="J173">
        <v>1.7000000000000001E-2</v>
      </c>
      <c r="K173">
        <f t="shared" si="2"/>
        <v>-1.7695510786217261</v>
      </c>
      <c r="M173">
        <v>2.5999999999999999E-2</v>
      </c>
      <c r="O173" t="s">
        <v>356</v>
      </c>
      <c r="P173">
        <v>1987</v>
      </c>
      <c r="Q173" t="b">
        <v>1</v>
      </c>
    </row>
    <row r="174" spans="1:17" x14ac:dyDescent="0.2">
      <c r="A174" t="s">
        <v>31</v>
      </c>
      <c r="B174" t="s">
        <v>355</v>
      </c>
      <c r="D174" t="b">
        <v>1</v>
      </c>
      <c r="E174" t="b">
        <v>1</v>
      </c>
      <c r="F174" t="s">
        <v>33</v>
      </c>
      <c r="G174">
        <v>20</v>
      </c>
      <c r="H174" t="s">
        <v>34</v>
      </c>
      <c r="J174">
        <v>1.4999999999999999E-2</v>
      </c>
      <c r="K174">
        <f t="shared" si="2"/>
        <v>-1.8239087409443189</v>
      </c>
      <c r="M174">
        <v>4.2999999999999997E-2</v>
      </c>
      <c r="O174" t="s">
        <v>356</v>
      </c>
      <c r="P174">
        <v>1987</v>
      </c>
      <c r="Q174" t="b">
        <v>1</v>
      </c>
    </row>
    <row r="175" spans="1:17" x14ac:dyDescent="0.2">
      <c r="A175" t="s">
        <v>31</v>
      </c>
      <c r="B175" t="s">
        <v>355</v>
      </c>
      <c r="D175" t="b">
        <v>1</v>
      </c>
      <c r="E175" t="b">
        <v>1</v>
      </c>
      <c r="F175" t="s">
        <v>33</v>
      </c>
      <c r="G175">
        <v>25</v>
      </c>
      <c r="H175" t="s">
        <v>34</v>
      </c>
      <c r="J175">
        <v>2.2000000000000001E-3</v>
      </c>
      <c r="K175">
        <f t="shared" si="2"/>
        <v>-2.6575773191777938</v>
      </c>
      <c r="M175">
        <v>4.5999999999999999E-2</v>
      </c>
      <c r="O175" t="s">
        <v>356</v>
      </c>
      <c r="P175">
        <v>1987</v>
      </c>
      <c r="Q175" t="b">
        <v>1</v>
      </c>
    </row>
    <row r="176" spans="1:17" x14ac:dyDescent="0.2">
      <c r="A176" t="s">
        <v>31</v>
      </c>
      <c r="B176" t="s">
        <v>357</v>
      </c>
      <c r="C176" t="s">
        <v>358</v>
      </c>
      <c r="D176" t="b">
        <v>1</v>
      </c>
      <c r="E176" t="b">
        <v>1</v>
      </c>
      <c r="F176" t="s">
        <v>19</v>
      </c>
      <c r="G176">
        <v>10</v>
      </c>
      <c r="H176" t="s">
        <v>468</v>
      </c>
      <c r="J176">
        <v>6.6E-3</v>
      </c>
      <c r="K176">
        <f t="shared" si="2"/>
        <v>-2.1804560644581312</v>
      </c>
      <c r="M176">
        <v>8.6999999999999994E-3</v>
      </c>
      <c r="O176" t="s">
        <v>359</v>
      </c>
      <c r="P176">
        <v>2009</v>
      </c>
      <c r="Q176" t="b">
        <v>1</v>
      </c>
    </row>
    <row r="177" spans="1:17" x14ac:dyDescent="0.2">
      <c r="A177" t="s">
        <v>31</v>
      </c>
      <c r="B177" t="s">
        <v>357</v>
      </c>
      <c r="C177" t="s">
        <v>358</v>
      </c>
      <c r="D177" t="b">
        <v>1</v>
      </c>
      <c r="E177" t="b">
        <v>1</v>
      </c>
      <c r="F177" t="s">
        <v>19</v>
      </c>
      <c r="G177">
        <v>20</v>
      </c>
      <c r="H177" t="s">
        <v>468</v>
      </c>
      <c r="J177">
        <v>3.2000000000000002E-3</v>
      </c>
      <c r="K177">
        <f t="shared" si="2"/>
        <v>-2.4948500216800942</v>
      </c>
      <c r="M177">
        <v>2.3E-2</v>
      </c>
      <c r="O177" t="s">
        <v>359</v>
      </c>
      <c r="P177">
        <v>2009</v>
      </c>
      <c r="Q177" t="b">
        <v>1</v>
      </c>
    </row>
    <row r="178" spans="1:17" x14ac:dyDescent="0.2">
      <c r="A178" t="s">
        <v>31</v>
      </c>
      <c r="B178" t="s">
        <v>360</v>
      </c>
      <c r="D178" t="b">
        <v>1</v>
      </c>
      <c r="E178" t="b">
        <v>0</v>
      </c>
      <c r="G178">
        <v>23</v>
      </c>
      <c r="J178">
        <v>0.65</v>
      </c>
      <c r="K178">
        <f t="shared" si="2"/>
        <v>-0.18708664335714442</v>
      </c>
      <c r="M178">
        <v>2.8000000000000001E-2</v>
      </c>
      <c r="O178" t="s">
        <v>361</v>
      </c>
      <c r="P178">
        <v>2007</v>
      </c>
      <c r="Q178" t="b">
        <v>1</v>
      </c>
    </row>
    <row r="179" spans="1:17" x14ac:dyDescent="0.2">
      <c r="A179" t="s">
        <v>31</v>
      </c>
      <c r="B179" t="s">
        <v>362</v>
      </c>
      <c r="D179" t="b">
        <v>1</v>
      </c>
      <c r="E179" t="b">
        <v>0</v>
      </c>
      <c r="F179" t="s">
        <v>19</v>
      </c>
      <c r="G179">
        <v>24</v>
      </c>
      <c r="J179">
        <v>0.33</v>
      </c>
      <c r="K179">
        <f t="shared" si="2"/>
        <v>-0.48148606012211248</v>
      </c>
      <c r="M179">
        <v>3.6999999999999998E-2</v>
      </c>
      <c r="O179" t="s">
        <v>363</v>
      </c>
      <c r="P179">
        <v>1984</v>
      </c>
      <c r="Q179" t="b">
        <v>1</v>
      </c>
    </row>
    <row r="180" spans="1:17" x14ac:dyDescent="0.2">
      <c r="A180" t="s">
        <v>31</v>
      </c>
      <c r="B180" t="s">
        <v>53</v>
      </c>
      <c r="D180" t="b">
        <v>1</v>
      </c>
      <c r="E180" t="b">
        <v>1</v>
      </c>
      <c r="F180" t="s">
        <v>19</v>
      </c>
      <c r="G180">
        <v>24</v>
      </c>
      <c r="J180">
        <v>0.17</v>
      </c>
      <c r="K180">
        <f t="shared" si="2"/>
        <v>-0.769551078621726</v>
      </c>
      <c r="M180">
        <v>6.8000000000000005E-2</v>
      </c>
      <c r="O180" t="s">
        <v>363</v>
      </c>
      <c r="P180">
        <v>1984</v>
      </c>
      <c r="Q180" t="b">
        <v>1</v>
      </c>
    </row>
    <row r="181" spans="1:17" x14ac:dyDescent="0.2">
      <c r="A181" t="s">
        <v>31</v>
      </c>
      <c r="B181" t="s">
        <v>364</v>
      </c>
      <c r="C181" t="s">
        <v>365</v>
      </c>
      <c r="D181" t="b">
        <v>1</v>
      </c>
      <c r="E181" t="b">
        <v>0</v>
      </c>
      <c r="F181" t="s">
        <v>107</v>
      </c>
      <c r="G181">
        <v>25</v>
      </c>
      <c r="H181" t="s">
        <v>472</v>
      </c>
      <c r="J181">
        <v>0.14000000000000001</v>
      </c>
      <c r="K181">
        <f t="shared" si="2"/>
        <v>-0.85387196432176193</v>
      </c>
      <c r="M181">
        <v>0.01</v>
      </c>
      <c r="O181" t="s">
        <v>366</v>
      </c>
      <c r="P181">
        <v>2005</v>
      </c>
      <c r="Q181" t="b">
        <v>1</v>
      </c>
    </row>
    <row r="182" spans="1:17" x14ac:dyDescent="0.2">
      <c r="A182" t="s">
        <v>31</v>
      </c>
      <c r="B182" t="s">
        <v>364</v>
      </c>
      <c r="C182" t="s">
        <v>367</v>
      </c>
      <c r="D182" t="b">
        <v>1</v>
      </c>
      <c r="E182" t="b">
        <v>0</v>
      </c>
      <c r="F182" t="s">
        <v>107</v>
      </c>
      <c r="G182">
        <v>25</v>
      </c>
      <c r="H182" t="s">
        <v>472</v>
      </c>
      <c r="J182">
        <v>0.22</v>
      </c>
      <c r="K182">
        <f t="shared" si="2"/>
        <v>-0.65757731917779372</v>
      </c>
      <c r="M182">
        <v>7.4999999999999997E-3</v>
      </c>
      <c r="O182" t="s">
        <v>366</v>
      </c>
      <c r="P182">
        <v>2005</v>
      </c>
      <c r="Q182" t="b">
        <v>1</v>
      </c>
    </row>
    <row r="183" spans="1:17" x14ac:dyDescent="0.2">
      <c r="A183" t="s">
        <v>31</v>
      </c>
      <c r="B183" t="s">
        <v>368</v>
      </c>
      <c r="C183" t="s">
        <v>369</v>
      </c>
      <c r="D183" t="b">
        <v>1</v>
      </c>
      <c r="E183" t="b">
        <v>1</v>
      </c>
      <c r="F183" t="s">
        <v>33</v>
      </c>
      <c r="G183">
        <v>18.8</v>
      </c>
      <c r="H183" t="s">
        <v>20</v>
      </c>
      <c r="J183">
        <v>1.4E-2</v>
      </c>
      <c r="K183">
        <f t="shared" si="2"/>
        <v>-1.853871964321762</v>
      </c>
      <c r="M183">
        <v>4.2000000000000003E-2</v>
      </c>
      <c r="N183" t="s">
        <v>370</v>
      </c>
      <c r="O183" t="s">
        <v>371</v>
      </c>
      <c r="P183">
        <v>1977</v>
      </c>
      <c r="Q183" t="b">
        <v>1</v>
      </c>
    </row>
    <row r="184" spans="1:17" x14ac:dyDescent="0.2">
      <c r="A184" t="s">
        <v>31</v>
      </c>
      <c r="B184" t="s">
        <v>372</v>
      </c>
      <c r="D184" t="b">
        <v>1</v>
      </c>
      <c r="E184" t="b">
        <v>1</v>
      </c>
      <c r="F184" t="s">
        <v>19</v>
      </c>
      <c r="G184">
        <v>12</v>
      </c>
      <c r="J184">
        <v>7.1000000000000004E-3</v>
      </c>
      <c r="K184">
        <f t="shared" si="2"/>
        <v>-2.1487416512809245</v>
      </c>
      <c r="M184">
        <v>3.3000000000000002E-2</v>
      </c>
      <c r="O184" t="s">
        <v>373</v>
      </c>
      <c r="P184">
        <v>1989</v>
      </c>
      <c r="Q184" t="b">
        <v>1</v>
      </c>
    </row>
    <row r="185" spans="1:17" x14ac:dyDescent="0.2">
      <c r="A185" t="s">
        <v>31</v>
      </c>
      <c r="B185" t="s">
        <v>374</v>
      </c>
      <c r="D185" t="b">
        <v>1</v>
      </c>
      <c r="E185" t="b">
        <v>1</v>
      </c>
      <c r="F185" t="s">
        <v>19</v>
      </c>
      <c r="G185">
        <v>12</v>
      </c>
      <c r="J185">
        <v>2.1999999999999999E-2</v>
      </c>
      <c r="K185">
        <f t="shared" si="2"/>
        <v>-1.6575773191777938</v>
      </c>
      <c r="M185">
        <v>3.4000000000000002E-2</v>
      </c>
      <c r="O185" t="s">
        <v>373</v>
      </c>
      <c r="P185">
        <v>1989</v>
      </c>
      <c r="Q185" t="b">
        <v>1</v>
      </c>
    </row>
    <row r="186" spans="1:17" x14ac:dyDescent="0.2">
      <c r="A186" t="s">
        <v>31</v>
      </c>
      <c r="B186" t="s">
        <v>375</v>
      </c>
      <c r="D186" t="b">
        <v>1</v>
      </c>
      <c r="E186" t="b">
        <v>1</v>
      </c>
      <c r="F186" t="s">
        <v>19</v>
      </c>
      <c r="G186">
        <v>12</v>
      </c>
      <c r="J186">
        <v>1.4E-2</v>
      </c>
      <c r="K186">
        <f t="shared" si="2"/>
        <v>-1.853871964321762</v>
      </c>
      <c r="M186">
        <v>0.02</v>
      </c>
      <c r="O186" t="s">
        <v>373</v>
      </c>
      <c r="P186">
        <v>1989</v>
      </c>
      <c r="Q186" t="b">
        <v>1</v>
      </c>
    </row>
    <row r="187" spans="1:17" x14ac:dyDescent="0.2">
      <c r="A187" t="s">
        <v>31</v>
      </c>
      <c r="B187" t="s">
        <v>376</v>
      </c>
      <c r="D187" t="b">
        <v>1</v>
      </c>
      <c r="E187" t="b">
        <v>1</v>
      </c>
      <c r="F187" t="s">
        <v>19</v>
      </c>
      <c r="G187">
        <v>12</v>
      </c>
      <c r="J187">
        <v>2.3E-3</v>
      </c>
      <c r="K187">
        <f t="shared" si="2"/>
        <v>-2.6382721639824069</v>
      </c>
      <c r="M187">
        <v>1.4999999999999999E-2</v>
      </c>
      <c r="O187" t="s">
        <v>373</v>
      </c>
      <c r="P187">
        <v>1989</v>
      </c>
      <c r="Q187" t="b">
        <v>1</v>
      </c>
    </row>
    <row r="188" spans="1:17" x14ac:dyDescent="0.2">
      <c r="A188" t="s">
        <v>31</v>
      </c>
      <c r="B188" t="s">
        <v>377</v>
      </c>
      <c r="D188" t="b">
        <v>1</v>
      </c>
      <c r="E188" t="b">
        <v>1</v>
      </c>
      <c r="F188" t="s">
        <v>19</v>
      </c>
      <c r="G188">
        <v>12</v>
      </c>
      <c r="J188">
        <v>1.9E-2</v>
      </c>
      <c r="K188">
        <f t="shared" si="2"/>
        <v>-1.7212463990471711</v>
      </c>
      <c r="M188">
        <v>2.3E-2</v>
      </c>
      <c r="O188" t="s">
        <v>373</v>
      </c>
      <c r="P188">
        <v>1989</v>
      </c>
      <c r="Q188" t="b">
        <v>1</v>
      </c>
    </row>
    <row r="189" spans="1:17" x14ac:dyDescent="0.2">
      <c r="A189" t="s">
        <v>31</v>
      </c>
      <c r="B189" t="s">
        <v>378</v>
      </c>
      <c r="D189" t="b">
        <v>1</v>
      </c>
      <c r="E189" t="b">
        <v>1</v>
      </c>
      <c r="F189" t="s">
        <v>19</v>
      </c>
      <c r="G189">
        <v>12</v>
      </c>
      <c r="J189">
        <v>4.7E-2</v>
      </c>
      <c r="K189">
        <f t="shared" si="2"/>
        <v>-1.3279021420642825</v>
      </c>
      <c r="M189">
        <v>3.6999999999999998E-2</v>
      </c>
      <c r="O189" t="s">
        <v>373</v>
      </c>
      <c r="P189">
        <v>1989</v>
      </c>
      <c r="Q189" t="b">
        <v>1</v>
      </c>
    </row>
    <row r="190" spans="1:17" x14ac:dyDescent="0.2">
      <c r="A190" t="s">
        <v>31</v>
      </c>
      <c r="B190" t="s">
        <v>379</v>
      </c>
      <c r="D190" t="b">
        <v>1</v>
      </c>
      <c r="E190" t="b">
        <v>1</v>
      </c>
      <c r="F190" t="s">
        <v>19</v>
      </c>
      <c r="G190">
        <v>12</v>
      </c>
      <c r="J190">
        <v>1.2E-2</v>
      </c>
      <c r="K190">
        <f t="shared" si="2"/>
        <v>-1.9208187539523751</v>
      </c>
      <c r="M190">
        <v>2.1999999999999999E-2</v>
      </c>
      <c r="O190" t="s">
        <v>373</v>
      </c>
      <c r="P190">
        <v>1989</v>
      </c>
      <c r="Q190" t="b">
        <v>1</v>
      </c>
    </row>
    <row r="191" spans="1:17" x14ac:dyDescent="0.2">
      <c r="A191" t="s">
        <v>31</v>
      </c>
      <c r="B191" t="s">
        <v>355</v>
      </c>
      <c r="D191" t="b">
        <v>1</v>
      </c>
      <c r="E191" t="b">
        <v>1</v>
      </c>
      <c r="F191" t="s">
        <v>19</v>
      </c>
      <c r="G191">
        <v>12</v>
      </c>
      <c r="J191">
        <v>3.5000000000000003E-2</v>
      </c>
      <c r="K191">
        <f t="shared" si="2"/>
        <v>-1.4559319556497243</v>
      </c>
      <c r="M191">
        <v>2.5999999999999999E-2</v>
      </c>
      <c r="O191" t="s">
        <v>373</v>
      </c>
      <c r="P191">
        <v>1989</v>
      </c>
      <c r="Q191" t="b">
        <v>1</v>
      </c>
    </row>
    <row r="192" spans="1:17" x14ac:dyDescent="0.2">
      <c r="A192" t="s">
        <v>31</v>
      </c>
      <c r="B192" t="s">
        <v>380</v>
      </c>
      <c r="D192" t="b">
        <v>1</v>
      </c>
      <c r="E192" t="b">
        <v>1</v>
      </c>
      <c r="F192" t="s">
        <v>19</v>
      </c>
      <c r="G192">
        <v>12</v>
      </c>
      <c r="J192">
        <v>2.5000000000000001E-2</v>
      </c>
      <c r="K192">
        <f t="shared" si="2"/>
        <v>-1.6020599913279623</v>
      </c>
      <c r="M192">
        <v>0.02</v>
      </c>
      <c r="O192" t="s">
        <v>373</v>
      </c>
      <c r="P192">
        <v>1989</v>
      </c>
      <c r="Q192" t="b">
        <v>1</v>
      </c>
    </row>
    <row r="193" spans="1:17" x14ac:dyDescent="0.2">
      <c r="A193" t="s">
        <v>31</v>
      </c>
      <c r="B193" t="s">
        <v>381</v>
      </c>
      <c r="D193" t="b">
        <v>1</v>
      </c>
      <c r="E193" t="b">
        <v>1</v>
      </c>
      <c r="F193" t="s">
        <v>19</v>
      </c>
      <c r="G193">
        <v>12</v>
      </c>
      <c r="J193">
        <v>1E-4</v>
      </c>
      <c r="K193">
        <f t="shared" si="2"/>
        <v>-4</v>
      </c>
      <c r="M193">
        <v>2.5000000000000001E-2</v>
      </c>
      <c r="O193" t="s">
        <v>373</v>
      </c>
      <c r="P193">
        <v>1989</v>
      </c>
      <c r="Q193" t="b">
        <v>1</v>
      </c>
    </row>
    <row r="194" spans="1:17" x14ac:dyDescent="0.2">
      <c r="A194" t="s">
        <v>31</v>
      </c>
      <c r="B194" t="s">
        <v>382</v>
      </c>
      <c r="D194" t="b">
        <v>1</v>
      </c>
      <c r="E194" t="b">
        <v>1</v>
      </c>
      <c r="F194" t="s">
        <v>19</v>
      </c>
      <c r="G194">
        <v>12</v>
      </c>
      <c r="J194">
        <v>6.8999999999999999E-3</v>
      </c>
      <c r="K194">
        <f t="shared" si="2"/>
        <v>-2.1611509092627448</v>
      </c>
      <c r="M194">
        <v>0.03</v>
      </c>
      <c r="O194" t="s">
        <v>373</v>
      </c>
      <c r="P194">
        <v>1989</v>
      </c>
      <c r="Q194" t="b">
        <v>1</v>
      </c>
    </row>
    <row r="195" spans="1:17" x14ac:dyDescent="0.2">
      <c r="A195" t="s">
        <v>31</v>
      </c>
      <c r="B195" t="s">
        <v>282</v>
      </c>
      <c r="D195" t="b">
        <v>1</v>
      </c>
      <c r="E195" t="b">
        <v>1</v>
      </c>
      <c r="F195" t="s">
        <v>33</v>
      </c>
      <c r="G195">
        <v>20</v>
      </c>
      <c r="H195" t="s">
        <v>20</v>
      </c>
      <c r="J195">
        <v>7.0000000000000007E-2</v>
      </c>
      <c r="K195">
        <f t="shared" si="2"/>
        <v>-1.1549019599857431</v>
      </c>
      <c r="M195">
        <v>2.8000000000000001E-2</v>
      </c>
      <c r="O195" t="s">
        <v>383</v>
      </c>
      <c r="P195">
        <v>1981</v>
      </c>
      <c r="Q195" t="b">
        <v>1</v>
      </c>
    </row>
    <row r="196" spans="1:17" x14ac:dyDescent="0.2">
      <c r="A196" t="s">
        <v>31</v>
      </c>
      <c r="B196" t="s">
        <v>360</v>
      </c>
      <c r="D196" t="b">
        <v>1</v>
      </c>
      <c r="E196" t="b">
        <v>0</v>
      </c>
      <c r="F196" t="s">
        <v>33</v>
      </c>
      <c r="G196">
        <v>20</v>
      </c>
      <c r="H196" t="s">
        <v>20</v>
      </c>
      <c r="J196">
        <v>0.19</v>
      </c>
      <c r="K196">
        <f t="shared" si="2"/>
        <v>-0.72124639904717103</v>
      </c>
      <c r="M196">
        <v>0.01</v>
      </c>
      <c r="O196" t="s">
        <v>383</v>
      </c>
      <c r="P196">
        <v>1981</v>
      </c>
      <c r="Q196" t="b">
        <v>1</v>
      </c>
    </row>
    <row r="197" spans="1:17" x14ac:dyDescent="0.2">
      <c r="A197" t="s">
        <v>31</v>
      </c>
      <c r="B197" t="s">
        <v>384</v>
      </c>
      <c r="D197" t="b">
        <v>1</v>
      </c>
      <c r="E197" t="b">
        <v>1</v>
      </c>
      <c r="F197" t="s">
        <v>19</v>
      </c>
      <c r="G197">
        <v>20</v>
      </c>
      <c r="H197" t="s">
        <v>473</v>
      </c>
      <c r="J197">
        <v>0.02</v>
      </c>
      <c r="K197">
        <f t="shared" si="2"/>
        <v>-1.6989700043360187</v>
      </c>
      <c r="M197">
        <v>0.02</v>
      </c>
      <c r="O197" t="s">
        <v>385</v>
      </c>
      <c r="P197">
        <v>1977</v>
      </c>
      <c r="Q197" t="b">
        <v>1</v>
      </c>
    </row>
    <row r="198" spans="1:17" x14ac:dyDescent="0.2">
      <c r="A198" t="s">
        <v>31</v>
      </c>
      <c r="B198" t="s">
        <v>386</v>
      </c>
      <c r="D198" t="b">
        <v>1</v>
      </c>
      <c r="E198" t="b">
        <v>0</v>
      </c>
      <c r="F198" t="s">
        <v>19</v>
      </c>
      <c r="G198">
        <v>26</v>
      </c>
      <c r="H198" t="s">
        <v>474</v>
      </c>
      <c r="J198">
        <v>1.3</v>
      </c>
      <c r="K198">
        <f t="shared" si="2"/>
        <v>0.11394335230683679</v>
      </c>
      <c r="M198">
        <v>7.0000000000000007E-2</v>
      </c>
      <c r="O198" t="s">
        <v>387</v>
      </c>
      <c r="P198">
        <v>1979</v>
      </c>
      <c r="Q198" t="b">
        <v>1</v>
      </c>
    </row>
    <row r="199" spans="1:17" x14ac:dyDescent="0.2">
      <c r="A199" t="s">
        <v>31</v>
      </c>
      <c r="B199" t="s">
        <v>368</v>
      </c>
      <c r="D199" t="b">
        <v>1</v>
      </c>
      <c r="E199" t="b">
        <v>1</v>
      </c>
      <c r="F199" t="s">
        <v>33</v>
      </c>
      <c r="G199">
        <v>22</v>
      </c>
      <c r="H199" t="s">
        <v>475</v>
      </c>
      <c r="J199">
        <v>2.5999999999999999E-3</v>
      </c>
      <c r="K199">
        <f t="shared" si="2"/>
        <v>-2.5850266520291822</v>
      </c>
      <c r="M199">
        <v>4.1000000000000002E-2</v>
      </c>
      <c r="O199" t="s">
        <v>388</v>
      </c>
      <c r="P199">
        <v>2011</v>
      </c>
      <c r="Q199" t="b">
        <v>1</v>
      </c>
    </row>
    <row r="200" spans="1:17" x14ac:dyDescent="0.2">
      <c r="A200" t="s">
        <v>31</v>
      </c>
      <c r="B200" t="s">
        <v>389</v>
      </c>
      <c r="D200" t="b">
        <v>1</v>
      </c>
      <c r="E200" t="b">
        <v>1</v>
      </c>
      <c r="G200">
        <v>20</v>
      </c>
      <c r="J200">
        <v>0.5</v>
      </c>
      <c r="K200">
        <f t="shared" si="2"/>
        <v>-0.3010299956639812</v>
      </c>
      <c r="M200">
        <v>1.6E-2</v>
      </c>
      <c r="O200" t="s">
        <v>390</v>
      </c>
      <c r="P200">
        <v>2000</v>
      </c>
      <c r="Q200" t="b">
        <v>1</v>
      </c>
    </row>
    <row r="201" spans="1:17" x14ac:dyDescent="0.2">
      <c r="A201" t="s">
        <v>31</v>
      </c>
      <c r="B201" t="s">
        <v>391</v>
      </c>
      <c r="D201" t="b">
        <v>1</v>
      </c>
      <c r="E201" t="b">
        <v>1</v>
      </c>
      <c r="G201">
        <v>20</v>
      </c>
      <c r="J201">
        <v>0.54</v>
      </c>
      <c r="K201">
        <f t="shared" si="2"/>
        <v>-0.26760624017703144</v>
      </c>
      <c r="M201">
        <v>0.03</v>
      </c>
      <c r="O201" t="s">
        <v>390</v>
      </c>
      <c r="P201">
        <v>2000</v>
      </c>
      <c r="Q201" t="b">
        <v>1</v>
      </c>
    </row>
    <row r="202" spans="1:17" x14ac:dyDescent="0.2">
      <c r="A202" t="s">
        <v>31</v>
      </c>
      <c r="B202" t="s">
        <v>392</v>
      </c>
      <c r="C202" t="s">
        <v>393</v>
      </c>
      <c r="D202" t="b">
        <v>1</v>
      </c>
      <c r="E202" t="b">
        <v>1</v>
      </c>
      <c r="G202">
        <v>20</v>
      </c>
      <c r="J202">
        <v>1.3</v>
      </c>
      <c r="K202">
        <f t="shared" si="2"/>
        <v>0.11394335230683679</v>
      </c>
      <c r="M202">
        <v>3.5000000000000003E-2</v>
      </c>
      <c r="O202" t="s">
        <v>336</v>
      </c>
      <c r="P202">
        <v>1999</v>
      </c>
      <c r="Q202" t="b">
        <v>1</v>
      </c>
    </row>
    <row r="203" spans="1:17" x14ac:dyDescent="0.2">
      <c r="A203" t="s">
        <v>31</v>
      </c>
      <c r="B203" t="s">
        <v>392</v>
      </c>
      <c r="C203" t="s">
        <v>393</v>
      </c>
      <c r="D203" t="b">
        <v>1</v>
      </c>
      <c r="E203" t="b">
        <v>1</v>
      </c>
      <c r="G203">
        <v>25</v>
      </c>
      <c r="J203">
        <v>0.96</v>
      </c>
      <c r="K203">
        <f t="shared" si="2"/>
        <v>-1.7728766960431602E-2</v>
      </c>
      <c r="M203">
        <v>0.04</v>
      </c>
      <c r="O203" t="s">
        <v>336</v>
      </c>
      <c r="P203">
        <v>1999</v>
      </c>
      <c r="Q203" t="b">
        <v>1</v>
      </c>
    </row>
    <row r="204" spans="1:17" x14ac:dyDescent="0.2">
      <c r="A204" t="s">
        <v>31</v>
      </c>
      <c r="B204" t="s">
        <v>392</v>
      </c>
      <c r="C204" t="s">
        <v>393</v>
      </c>
      <c r="D204" t="b">
        <v>1</v>
      </c>
      <c r="E204" t="b">
        <v>1</v>
      </c>
      <c r="G204">
        <v>30</v>
      </c>
      <c r="J204">
        <v>0.25</v>
      </c>
      <c r="K204">
        <f t="shared" si="2"/>
        <v>-0.6020599913279624</v>
      </c>
      <c r="M204">
        <v>4.7E-2</v>
      </c>
      <c r="O204" t="s">
        <v>336</v>
      </c>
      <c r="P204">
        <v>1999</v>
      </c>
      <c r="Q204" t="b">
        <v>1</v>
      </c>
    </row>
    <row r="205" spans="1:17" x14ac:dyDescent="0.2">
      <c r="A205" t="s">
        <v>31</v>
      </c>
      <c r="B205" t="s">
        <v>392</v>
      </c>
      <c r="C205" t="s">
        <v>393</v>
      </c>
      <c r="D205" t="b">
        <v>1</v>
      </c>
      <c r="E205" t="b">
        <v>1</v>
      </c>
      <c r="G205">
        <v>35</v>
      </c>
      <c r="J205">
        <v>0.62</v>
      </c>
      <c r="K205">
        <f t="shared" si="2"/>
        <v>-0.20760831050174613</v>
      </c>
      <c r="M205">
        <v>3.7999999999999999E-2</v>
      </c>
      <c r="O205" t="s">
        <v>336</v>
      </c>
      <c r="P205">
        <v>1999</v>
      </c>
      <c r="Q205" t="b">
        <v>1</v>
      </c>
    </row>
    <row r="206" spans="1:17" x14ac:dyDescent="0.2">
      <c r="A206" t="s">
        <v>31</v>
      </c>
      <c r="B206" t="s">
        <v>335</v>
      </c>
      <c r="D206" t="b">
        <v>1</v>
      </c>
      <c r="E206" t="b">
        <v>1</v>
      </c>
      <c r="G206">
        <v>20</v>
      </c>
      <c r="J206">
        <v>0.72</v>
      </c>
      <c r="K206">
        <f t="shared" si="2"/>
        <v>-0.14266750356873156</v>
      </c>
      <c r="M206">
        <v>0.02</v>
      </c>
      <c r="O206" t="s">
        <v>336</v>
      </c>
      <c r="P206">
        <v>1999</v>
      </c>
      <c r="Q206" t="b">
        <v>1</v>
      </c>
    </row>
    <row r="207" spans="1:17" x14ac:dyDescent="0.2">
      <c r="A207" t="s">
        <v>31</v>
      </c>
      <c r="B207" t="s">
        <v>394</v>
      </c>
      <c r="D207" t="b">
        <v>1</v>
      </c>
      <c r="E207" t="b">
        <v>1</v>
      </c>
      <c r="G207">
        <v>20</v>
      </c>
      <c r="J207">
        <v>0.31</v>
      </c>
      <c r="K207">
        <f t="shared" si="2"/>
        <v>-0.50863830616572736</v>
      </c>
      <c r="M207">
        <v>0.11</v>
      </c>
      <c r="O207" t="s">
        <v>395</v>
      </c>
      <c r="P207">
        <v>2004</v>
      </c>
      <c r="Q207" t="b">
        <v>1</v>
      </c>
    </row>
    <row r="208" spans="1:17" x14ac:dyDescent="0.2">
      <c r="A208" t="s">
        <v>31</v>
      </c>
      <c r="B208" t="s">
        <v>394</v>
      </c>
      <c r="D208" t="b">
        <v>1</v>
      </c>
      <c r="E208" t="b">
        <v>1</v>
      </c>
      <c r="G208">
        <v>9</v>
      </c>
      <c r="J208">
        <v>0.28999999999999998</v>
      </c>
      <c r="K208">
        <f t="shared" si="2"/>
        <v>-0.53760200210104392</v>
      </c>
      <c r="M208">
        <v>5.3999999999999999E-2</v>
      </c>
      <c r="O208" t="s">
        <v>395</v>
      </c>
      <c r="P208">
        <v>2004</v>
      </c>
      <c r="Q208" t="b">
        <v>1</v>
      </c>
    </row>
    <row r="209" spans="1:17" x14ac:dyDescent="0.2">
      <c r="A209" t="s">
        <v>31</v>
      </c>
      <c r="B209" t="s">
        <v>396</v>
      </c>
      <c r="D209" t="b">
        <v>1</v>
      </c>
      <c r="E209" t="b">
        <v>1</v>
      </c>
      <c r="G209">
        <v>20</v>
      </c>
      <c r="J209">
        <v>0.39</v>
      </c>
      <c r="K209">
        <f t="shared" si="2"/>
        <v>-0.40893539297350079</v>
      </c>
      <c r="M209">
        <v>3.2000000000000001E-2</v>
      </c>
      <c r="O209" t="s">
        <v>397</v>
      </c>
      <c r="P209">
        <v>2004</v>
      </c>
      <c r="Q209" t="b">
        <v>1</v>
      </c>
    </row>
    <row r="210" spans="1:17" x14ac:dyDescent="0.2">
      <c r="A210" t="s">
        <v>31</v>
      </c>
      <c r="B210" t="s">
        <v>396</v>
      </c>
      <c r="D210" t="b">
        <v>1</v>
      </c>
      <c r="E210" t="b">
        <v>1</v>
      </c>
      <c r="G210">
        <v>9</v>
      </c>
      <c r="J210">
        <v>0.39</v>
      </c>
      <c r="K210">
        <f t="shared" si="2"/>
        <v>-0.40893539297350079</v>
      </c>
      <c r="M210">
        <v>1.2999999999999999E-2</v>
      </c>
      <c r="O210" t="s">
        <v>397</v>
      </c>
      <c r="P210">
        <v>2004</v>
      </c>
      <c r="Q210" t="b">
        <v>1</v>
      </c>
    </row>
    <row r="211" spans="1:17" x14ac:dyDescent="0.2">
      <c r="A211" t="s">
        <v>31</v>
      </c>
      <c r="B211" t="s">
        <v>398</v>
      </c>
      <c r="C211" t="s">
        <v>399</v>
      </c>
      <c r="D211" t="b">
        <v>1</v>
      </c>
      <c r="E211" t="b">
        <v>1</v>
      </c>
      <c r="G211">
        <v>24</v>
      </c>
      <c r="J211">
        <v>6.1000000000000004E-3</v>
      </c>
      <c r="K211">
        <f t="shared" si="2"/>
        <v>-2.2146701649892329</v>
      </c>
      <c r="M211">
        <v>8.5000000000000006E-2</v>
      </c>
      <c r="N211" t="s">
        <v>400</v>
      </c>
      <c r="O211" t="s">
        <v>401</v>
      </c>
      <c r="P211">
        <v>1977</v>
      </c>
      <c r="Q211" t="b">
        <v>1</v>
      </c>
    </row>
    <row r="212" spans="1:17" x14ac:dyDescent="0.2">
      <c r="A212" t="s">
        <v>31</v>
      </c>
      <c r="B212" t="s">
        <v>53</v>
      </c>
      <c r="D212" t="b">
        <v>1</v>
      </c>
      <c r="E212" t="b">
        <v>1</v>
      </c>
      <c r="G212">
        <v>24</v>
      </c>
      <c r="J212">
        <v>2.5000000000000001E-2</v>
      </c>
      <c r="K212">
        <f t="shared" si="2"/>
        <v>-1.6020599913279623</v>
      </c>
      <c r="M212">
        <v>8.8999999999999996E-2</v>
      </c>
      <c r="O212" t="s">
        <v>401</v>
      </c>
      <c r="P212">
        <v>1977</v>
      </c>
      <c r="Q212" t="b">
        <v>1</v>
      </c>
    </row>
    <row r="213" spans="1:17" x14ac:dyDescent="0.2">
      <c r="A213" t="s">
        <v>31</v>
      </c>
      <c r="B213" t="s">
        <v>402</v>
      </c>
      <c r="C213" t="s">
        <v>403</v>
      </c>
      <c r="D213" t="b">
        <v>1</v>
      </c>
      <c r="E213" t="b">
        <v>1</v>
      </c>
      <c r="G213">
        <v>15</v>
      </c>
      <c r="J213">
        <v>1.8E-3</v>
      </c>
      <c r="K213">
        <f t="shared" si="2"/>
        <v>-2.744727494896694</v>
      </c>
      <c r="M213">
        <v>3.2000000000000001E-2</v>
      </c>
      <c r="O213" t="s">
        <v>404</v>
      </c>
      <c r="P213">
        <v>2000</v>
      </c>
      <c r="Q213" t="b">
        <v>1</v>
      </c>
    </row>
    <row r="214" spans="1:17" x14ac:dyDescent="0.2">
      <c r="A214" t="s">
        <v>31</v>
      </c>
      <c r="B214" t="s">
        <v>405</v>
      </c>
      <c r="D214" t="b">
        <v>1</v>
      </c>
      <c r="E214" t="b">
        <v>1</v>
      </c>
      <c r="G214">
        <v>25</v>
      </c>
      <c r="J214">
        <v>0.15</v>
      </c>
      <c r="K214">
        <f t="shared" si="2"/>
        <v>-0.82390874094431876</v>
      </c>
      <c r="M214">
        <v>5.0000000000000001E-3</v>
      </c>
      <c r="O214" t="s">
        <v>406</v>
      </c>
      <c r="P214">
        <v>1985</v>
      </c>
      <c r="Q214" t="b">
        <v>1</v>
      </c>
    </row>
    <row r="215" spans="1:17" x14ac:dyDescent="0.2">
      <c r="A215" t="s">
        <v>31</v>
      </c>
      <c r="B215" t="s">
        <v>407</v>
      </c>
      <c r="D215" t="b">
        <v>1</v>
      </c>
      <c r="E215" t="b">
        <v>1</v>
      </c>
      <c r="G215">
        <v>10</v>
      </c>
      <c r="J215">
        <v>0.23</v>
      </c>
      <c r="K215">
        <f t="shared" ref="K215:K268" si="3">LOG(J215)</f>
        <v>-0.63827216398240705</v>
      </c>
      <c r="M215">
        <v>1.2999999999999999E-2</v>
      </c>
      <c r="O215" t="s">
        <v>408</v>
      </c>
      <c r="P215">
        <v>1981</v>
      </c>
      <c r="Q215" t="b">
        <v>1</v>
      </c>
    </row>
    <row r="216" spans="1:17" x14ac:dyDescent="0.2">
      <c r="A216" t="s">
        <v>31</v>
      </c>
      <c r="B216" t="s">
        <v>407</v>
      </c>
      <c r="D216" t="b">
        <v>1</v>
      </c>
      <c r="E216" t="b">
        <v>1</v>
      </c>
      <c r="G216">
        <v>15</v>
      </c>
      <c r="J216">
        <v>0.26</v>
      </c>
      <c r="K216">
        <f t="shared" si="3"/>
        <v>-0.58502665202918203</v>
      </c>
      <c r="M216">
        <v>1.6E-2</v>
      </c>
      <c r="O216" t="s">
        <v>408</v>
      </c>
      <c r="P216">
        <v>1981</v>
      </c>
      <c r="Q216" t="b">
        <v>1</v>
      </c>
    </row>
    <row r="217" spans="1:17" x14ac:dyDescent="0.2">
      <c r="A217" t="s">
        <v>31</v>
      </c>
      <c r="B217" t="s">
        <v>407</v>
      </c>
      <c r="D217" t="b">
        <v>1</v>
      </c>
      <c r="E217" t="b">
        <v>1</v>
      </c>
      <c r="G217">
        <v>20</v>
      </c>
      <c r="J217">
        <v>1.2</v>
      </c>
      <c r="K217">
        <f t="shared" si="3"/>
        <v>7.9181246047624818E-2</v>
      </c>
      <c r="M217">
        <v>2.9000000000000001E-2</v>
      </c>
      <c r="O217" t="s">
        <v>408</v>
      </c>
      <c r="P217">
        <v>1981</v>
      </c>
      <c r="Q217" t="b">
        <v>1</v>
      </c>
    </row>
    <row r="218" spans="1:17" x14ac:dyDescent="0.2">
      <c r="A218" t="s">
        <v>31</v>
      </c>
      <c r="B218" t="s">
        <v>407</v>
      </c>
      <c r="D218" t="b">
        <v>1</v>
      </c>
      <c r="E218" t="b">
        <v>1</v>
      </c>
      <c r="G218">
        <v>25</v>
      </c>
      <c r="J218">
        <v>0.62</v>
      </c>
      <c r="K218">
        <f t="shared" si="3"/>
        <v>-0.20760831050174613</v>
      </c>
      <c r="M218">
        <v>2.1000000000000001E-2</v>
      </c>
      <c r="O218" t="s">
        <v>408</v>
      </c>
      <c r="P218">
        <v>1981</v>
      </c>
      <c r="Q218" t="b">
        <v>1</v>
      </c>
    </row>
    <row r="219" spans="1:17" x14ac:dyDescent="0.2">
      <c r="A219" t="s">
        <v>31</v>
      </c>
      <c r="B219" t="s">
        <v>407</v>
      </c>
      <c r="D219" t="b">
        <v>1</v>
      </c>
      <c r="E219" t="b">
        <v>1</v>
      </c>
      <c r="G219">
        <v>30</v>
      </c>
      <c r="J219">
        <v>0.2</v>
      </c>
      <c r="K219">
        <f t="shared" si="3"/>
        <v>-0.69897000433601875</v>
      </c>
      <c r="M219">
        <v>1.7999999999999999E-2</v>
      </c>
      <c r="O219" t="s">
        <v>408</v>
      </c>
      <c r="P219">
        <v>1981</v>
      </c>
      <c r="Q219" t="b">
        <v>1</v>
      </c>
    </row>
    <row r="220" spans="1:17" x14ac:dyDescent="0.2">
      <c r="A220" t="s">
        <v>31</v>
      </c>
      <c r="B220" t="s">
        <v>409</v>
      </c>
      <c r="C220" t="s">
        <v>410</v>
      </c>
      <c r="D220" t="b">
        <v>1</v>
      </c>
      <c r="E220" t="b">
        <v>1</v>
      </c>
      <c r="G220">
        <v>10</v>
      </c>
      <c r="J220">
        <v>1</v>
      </c>
      <c r="K220">
        <f t="shared" si="3"/>
        <v>0</v>
      </c>
      <c r="M220">
        <v>6.7000000000000002E-3</v>
      </c>
      <c r="O220" t="s">
        <v>408</v>
      </c>
      <c r="P220">
        <v>1981</v>
      </c>
      <c r="Q220" t="b">
        <v>1</v>
      </c>
    </row>
    <row r="221" spans="1:17" x14ac:dyDescent="0.2">
      <c r="A221" t="s">
        <v>31</v>
      </c>
      <c r="B221" t="s">
        <v>409</v>
      </c>
      <c r="C221" t="s">
        <v>410</v>
      </c>
      <c r="D221" t="b">
        <v>1</v>
      </c>
      <c r="E221" t="b">
        <v>1</v>
      </c>
      <c r="G221">
        <v>15</v>
      </c>
      <c r="J221">
        <v>1.2</v>
      </c>
      <c r="K221">
        <f t="shared" si="3"/>
        <v>7.9181246047624818E-2</v>
      </c>
      <c r="M221">
        <v>1.7999999999999999E-2</v>
      </c>
      <c r="O221" t="s">
        <v>408</v>
      </c>
      <c r="P221">
        <v>1981</v>
      </c>
      <c r="Q221" t="b">
        <v>1</v>
      </c>
    </row>
    <row r="222" spans="1:17" x14ac:dyDescent="0.2">
      <c r="A222" t="s">
        <v>31</v>
      </c>
      <c r="B222" t="s">
        <v>409</v>
      </c>
      <c r="C222" t="s">
        <v>410</v>
      </c>
      <c r="D222" t="b">
        <v>1</v>
      </c>
      <c r="E222" t="b">
        <v>1</v>
      </c>
      <c r="G222">
        <v>20</v>
      </c>
      <c r="J222">
        <v>2.9</v>
      </c>
      <c r="K222">
        <f t="shared" si="3"/>
        <v>0.46239799789895608</v>
      </c>
      <c r="M222">
        <v>3.7999999999999999E-2</v>
      </c>
      <c r="O222" t="s">
        <v>408</v>
      </c>
      <c r="P222">
        <v>1981</v>
      </c>
      <c r="Q222" t="b">
        <v>1</v>
      </c>
    </row>
    <row r="223" spans="1:17" x14ac:dyDescent="0.2">
      <c r="A223" t="s">
        <v>31</v>
      </c>
      <c r="B223" t="s">
        <v>409</v>
      </c>
      <c r="C223" t="s">
        <v>410</v>
      </c>
      <c r="D223" t="b">
        <v>1</v>
      </c>
      <c r="E223" t="b">
        <v>1</v>
      </c>
      <c r="G223">
        <v>25</v>
      </c>
      <c r="J223">
        <v>0.74</v>
      </c>
      <c r="K223">
        <f t="shared" si="3"/>
        <v>-0.13076828026902382</v>
      </c>
      <c r="M223">
        <v>2.1000000000000001E-2</v>
      </c>
      <c r="O223" t="s">
        <v>408</v>
      </c>
      <c r="P223">
        <v>1981</v>
      </c>
      <c r="Q223" t="b">
        <v>1</v>
      </c>
    </row>
    <row r="224" spans="1:17" x14ac:dyDescent="0.2">
      <c r="A224" t="s">
        <v>31</v>
      </c>
      <c r="B224" t="s">
        <v>411</v>
      </c>
      <c r="C224" t="s">
        <v>412</v>
      </c>
      <c r="D224" t="b">
        <v>1</v>
      </c>
      <c r="E224" t="b">
        <v>1</v>
      </c>
      <c r="G224">
        <v>19.5</v>
      </c>
      <c r="J224">
        <v>1.6999999999999999E-3</v>
      </c>
      <c r="K224">
        <f t="shared" si="3"/>
        <v>-2.7695510786217259</v>
      </c>
      <c r="M224">
        <v>5.3999999999999999E-2</v>
      </c>
      <c r="O224" t="s">
        <v>413</v>
      </c>
      <c r="P224">
        <v>2007</v>
      </c>
      <c r="Q224" t="b">
        <v>1</v>
      </c>
    </row>
    <row r="225" spans="1:17" x14ac:dyDescent="0.2">
      <c r="A225" t="s">
        <v>31</v>
      </c>
      <c r="B225" t="s">
        <v>282</v>
      </c>
      <c r="D225" t="b">
        <v>1</v>
      </c>
      <c r="E225" t="b">
        <v>1</v>
      </c>
      <c r="G225">
        <v>20</v>
      </c>
      <c r="J225">
        <v>0.02</v>
      </c>
      <c r="K225">
        <f t="shared" si="3"/>
        <v>-1.6989700043360187</v>
      </c>
      <c r="M225">
        <v>2.5000000000000001E-2</v>
      </c>
      <c r="O225" t="s">
        <v>414</v>
      </c>
      <c r="P225">
        <v>1976</v>
      </c>
      <c r="Q225" t="b">
        <v>1</v>
      </c>
    </row>
    <row r="226" spans="1:17" x14ac:dyDescent="0.2">
      <c r="A226" t="s">
        <v>31</v>
      </c>
      <c r="B226" t="s">
        <v>415</v>
      </c>
      <c r="D226" t="b">
        <v>1</v>
      </c>
      <c r="E226" t="b">
        <v>1</v>
      </c>
      <c r="G226">
        <v>20</v>
      </c>
      <c r="J226">
        <v>0.25</v>
      </c>
      <c r="K226">
        <f t="shared" si="3"/>
        <v>-0.6020599913279624</v>
      </c>
      <c r="M226">
        <v>2.3E-2</v>
      </c>
      <c r="O226" t="s">
        <v>414</v>
      </c>
      <c r="P226">
        <v>1976</v>
      </c>
      <c r="Q226" t="b">
        <v>1</v>
      </c>
    </row>
    <row r="227" spans="1:17" x14ac:dyDescent="0.2">
      <c r="A227" t="s">
        <v>31</v>
      </c>
      <c r="B227" t="s">
        <v>348</v>
      </c>
      <c r="C227" t="s">
        <v>349</v>
      </c>
      <c r="D227" t="b">
        <v>1</v>
      </c>
      <c r="E227" t="b">
        <v>1</v>
      </c>
      <c r="G227">
        <v>20</v>
      </c>
      <c r="J227">
        <v>9.4E-2</v>
      </c>
      <c r="K227">
        <f t="shared" si="3"/>
        <v>-1.0268721464003014</v>
      </c>
      <c r="M227">
        <v>3.4000000000000002E-2</v>
      </c>
      <c r="O227" t="s">
        <v>347</v>
      </c>
      <c r="P227">
        <v>2005</v>
      </c>
      <c r="Q227" t="b">
        <v>1</v>
      </c>
    </row>
    <row r="228" spans="1:17" x14ac:dyDescent="0.2">
      <c r="A228" t="s">
        <v>31</v>
      </c>
      <c r="B228" t="s">
        <v>350</v>
      </c>
      <c r="C228" t="s">
        <v>351</v>
      </c>
      <c r="D228" t="b">
        <v>1</v>
      </c>
      <c r="E228" t="b">
        <v>0</v>
      </c>
      <c r="G228">
        <v>20</v>
      </c>
      <c r="J228">
        <v>1.4E-2</v>
      </c>
      <c r="K228">
        <f t="shared" si="3"/>
        <v>-1.853871964321762</v>
      </c>
      <c r="M228">
        <v>2.1000000000000001E-2</v>
      </c>
      <c r="O228" t="s">
        <v>347</v>
      </c>
      <c r="P228">
        <v>2005</v>
      </c>
      <c r="Q228" t="b">
        <v>1</v>
      </c>
    </row>
    <row r="229" spans="1:17" x14ac:dyDescent="0.2">
      <c r="A229" t="s">
        <v>31</v>
      </c>
      <c r="B229" t="s">
        <v>282</v>
      </c>
      <c r="D229" t="b">
        <v>1</v>
      </c>
      <c r="E229" t="b">
        <v>1</v>
      </c>
      <c r="G229">
        <v>20</v>
      </c>
      <c r="J229">
        <v>2.8000000000000001E-2</v>
      </c>
      <c r="K229">
        <f t="shared" si="3"/>
        <v>-1.5528419686577808</v>
      </c>
      <c r="M229">
        <v>3.3000000000000002E-2</v>
      </c>
      <c r="O229" t="s">
        <v>416</v>
      </c>
      <c r="P229">
        <v>1990</v>
      </c>
      <c r="Q229" t="b">
        <v>1</v>
      </c>
    </row>
    <row r="230" spans="1:17" x14ac:dyDescent="0.2">
      <c r="A230" t="s">
        <v>31</v>
      </c>
      <c r="B230" t="s">
        <v>417</v>
      </c>
      <c r="D230" t="b">
        <v>1</v>
      </c>
      <c r="E230" t="b">
        <v>1</v>
      </c>
      <c r="G230">
        <v>20</v>
      </c>
      <c r="J230">
        <v>4.4999999999999998E-2</v>
      </c>
      <c r="K230">
        <f t="shared" si="3"/>
        <v>-1.3467874862246563</v>
      </c>
      <c r="M230">
        <v>3.3000000000000002E-2</v>
      </c>
      <c r="O230" t="s">
        <v>416</v>
      </c>
      <c r="P230">
        <v>1990</v>
      </c>
      <c r="Q230" t="b">
        <v>1</v>
      </c>
    </row>
    <row r="231" spans="1:17" x14ac:dyDescent="0.2">
      <c r="A231" t="s">
        <v>31</v>
      </c>
      <c r="B231" t="s">
        <v>418</v>
      </c>
      <c r="D231" t="b">
        <v>1</v>
      </c>
      <c r="E231" t="b">
        <v>1</v>
      </c>
      <c r="G231">
        <v>20</v>
      </c>
      <c r="J231">
        <v>0.16</v>
      </c>
      <c r="K231">
        <f t="shared" si="3"/>
        <v>-0.79588001734407521</v>
      </c>
      <c r="M231">
        <v>4.2000000000000003E-2</v>
      </c>
      <c r="O231" t="s">
        <v>416</v>
      </c>
      <c r="P231">
        <v>1990</v>
      </c>
      <c r="Q231" t="b">
        <v>1</v>
      </c>
    </row>
    <row r="232" spans="1:17" x14ac:dyDescent="0.2">
      <c r="A232" t="s">
        <v>31</v>
      </c>
      <c r="B232" t="s">
        <v>282</v>
      </c>
      <c r="D232" t="b">
        <v>1</v>
      </c>
      <c r="E232" t="b">
        <v>1</v>
      </c>
      <c r="G232">
        <v>5</v>
      </c>
      <c r="J232">
        <v>0.02</v>
      </c>
      <c r="K232">
        <f t="shared" si="3"/>
        <v>-1.6989700043360187</v>
      </c>
      <c r="M232">
        <v>1.7999999999999999E-2</v>
      </c>
      <c r="O232" t="s">
        <v>416</v>
      </c>
      <c r="P232">
        <v>1990</v>
      </c>
      <c r="Q232" t="b">
        <v>1</v>
      </c>
    </row>
    <row r="233" spans="1:17" x14ac:dyDescent="0.2">
      <c r="A233" t="s">
        <v>31</v>
      </c>
      <c r="B233" t="s">
        <v>282</v>
      </c>
      <c r="D233" t="b">
        <v>1</v>
      </c>
      <c r="E233" t="b">
        <v>1</v>
      </c>
      <c r="G233">
        <v>10</v>
      </c>
      <c r="J233">
        <v>2.5999999999999999E-2</v>
      </c>
      <c r="K233">
        <f t="shared" si="3"/>
        <v>-1.585026652029182</v>
      </c>
      <c r="M233">
        <v>2.7E-2</v>
      </c>
      <c r="O233" t="s">
        <v>416</v>
      </c>
      <c r="P233">
        <v>1990</v>
      </c>
      <c r="Q233" t="b">
        <v>1</v>
      </c>
    </row>
    <row r="234" spans="1:17" x14ac:dyDescent="0.2">
      <c r="A234" t="s">
        <v>31</v>
      </c>
      <c r="B234" t="s">
        <v>282</v>
      </c>
      <c r="D234" t="b">
        <v>1</v>
      </c>
      <c r="E234" t="b">
        <v>1</v>
      </c>
      <c r="G234">
        <v>15</v>
      </c>
      <c r="J234">
        <v>3.5000000000000003E-2</v>
      </c>
      <c r="K234">
        <f t="shared" si="3"/>
        <v>-1.4559319556497243</v>
      </c>
      <c r="M234">
        <v>2.8000000000000001E-2</v>
      </c>
      <c r="O234" t="s">
        <v>416</v>
      </c>
      <c r="P234">
        <v>1990</v>
      </c>
      <c r="Q234" t="b">
        <v>1</v>
      </c>
    </row>
    <row r="235" spans="1:17" x14ac:dyDescent="0.2">
      <c r="A235" t="s">
        <v>31</v>
      </c>
      <c r="B235" t="s">
        <v>418</v>
      </c>
      <c r="D235" t="b">
        <v>1</v>
      </c>
      <c r="E235" t="b">
        <v>1</v>
      </c>
      <c r="G235">
        <v>5</v>
      </c>
      <c r="J235">
        <v>0.2</v>
      </c>
      <c r="K235">
        <f t="shared" si="3"/>
        <v>-0.69897000433601875</v>
      </c>
      <c r="M235">
        <v>2.1999999999999999E-2</v>
      </c>
      <c r="O235" t="s">
        <v>416</v>
      </c>
      <c r="P235">
        <v>1990</v>
      </c>
      <c r="Q235" t="b">
        <v>1</v>
      </c>
    </row>
    <row r="236" spans="1:17" x14ac:dyDescent="0.2">
      <c r="A236" t="s">
        <v>31</v>
      </c>
      <c r="B236" t="s">
        <v>418</v>
      </c>
      <c r="D236" t="b">
        <v>1</v>
      </c>
      <c r="E236" t="b">
        <v>1</v>
      </c>
      <c r="G236">
        <v>10</v>
      </c>
      <c r="J236">
        <v>0.32</v>
      </c>
      <c r="K236">
        <f t="shared" si="3"/>
        <v>-0.49485002168009401</v>
      </c>
      <c r="M236">
        <v>2.5000000000000001E-2</v>
      </c>
      <c r="O236" t="s">
        <v>416</v>
      </c>
      <c r="P236">
        <v>1990</v>
      </c>
      <c r="Q236" t="b">
        <v>1</v>
      </c>
    </row>
    <row r="237" spans="1:17" x14ac:dyDescent="0.2">
      <c r="A237" t="s">
        <v>31</v>
      </c>
      <c r="B237" t="s">
        <v>418</v>
      </c>
      <c r="D237" t="b">
        <v>1</v>
      </c>
      <c r="E237" t="b">
        <v>1</v>
      </c>
      <c r="G237">
        <v>15</v>
      </c>
      <c r="J237">
        <v>0.31</v>
      </c>
      <c r="K237">
        <f t="shared" si="3"/>
        <v>-0.50863830616572736</v>
      </c>
      <c r="M237">
        <v>3.3000000000000002E-2</v>
      </c>
      <c r="O237" t="s">
        <v>416</v>
      </c>
      <c r="P237">
        <v>1990</v>
      </c>
      <c r="Q237" t="b">
        <v>1</v>
      </c>
    </row>
    <row r="238" spans="1:17" x14ac:dyDescent="0.2">
      <c r="A238" t="s">
        <v>31</v>
      </c>
      <c r="B238" t="s">
        <v>417</v>
      </c>
      <c r="D238" t="b">
        <v>1</v>
      </c>
      <c r="E238" t="b">
        <v>1</v>
      </c>
      <c r="G238">
        <v>5</v>
      </c>
      <c r="J238">
        <v>3.4000000000000002E-2</v>
      </c>
      <c r="K238">
        <f t="shared" si="3"/>
        <v>-1.4685210829577449</v>
      </c>
      <c r="M238">
        <v>1.2E-2</v>
      </c>
      <c r="O238" t="s">
        <v>416</v>
      </c>
      <c r="P238">
        <v>1990</v>
      </c>
      <c r="Q238" t="b">
        <v>1</v>
      </c>
    </row>
    <row r="239" spans="1:17" x14ac:dyDescent="0.2">
      <c r="A239" t="s">
        <v>31</v>
      </c>
      <c r="B239" t="s">
        <v>417</v>
      </c>
      <c r="D239" t="b">
        <v>1</v>
      </c>
      <c r="E239" t="b">
        <v>1</v>
      </c>
      <c r="G239">
        <v>10</v>
      </c>
      <c r="J239">
        <v>4.9000000000000002E-2</v>
      </c>
      <c r="K239">
        <f t="shared" si="3"/>
        <v>-1.3098039199714864</v>
      </c>
      <c r="M239">
        <v>1.7999999999999999E-2</v>
      </c>
      <c r="O239" t="s">
        <v>416</v>
      </c>
      <c r="P239">
        <v>1990</v>
      </c>
      <c r="Q239" t="b">
        <v>1</v>
      </c>
    </row>
    <row r="240" spans="1:17" x14ac:dyDescent="0.2">
      <c r="A240" t="s">
        <v>31</v>
      </c>
      <c r="B240" t="s">
        <v>417</v>
      </c>
      <c r="D240" t="b">
        <v>1</v>
      </c>
      <c r="E240" t="b">
        <v>1</v>
      </c>
      <c r="G240">
        <v>15</v>
      </c>
      <c r="J240">
        <v>0.05</v>
      </c>
      <c r="K240">
        <f t="shared" si="3"/>
        <v>-1.3010299956639813</v>
      </c>
      <c r="M240">
        <v>2.5000000000000001E-2</v>
      </c>
      <c r="O240" t="s">
        <v>416</v>
      </c>
      <c r="P240">
        <v>1990</v>
      </c>
      <c r="Q240" t="b">
        <v>1</v>
      </c>
    </row>
    <row r="241" spans="1:17" x14ac:dyDescent="0.2">
      <c r="A241" t="s">
        <v>31</v>
      </c>
      <c r="B241" t="s">
        <v>419</v>
      </c>
      <c r="D241" t="b">
        <v>1</v>
      </c>
      <c r="E241" t="b">
        <v>1</v>
      </c>
      <c r="G241">
        <v>25</v>
      </c>
      <c r="J241">
        <v>0.18</v>
      </c>
      <c r="K241">
        <f t="shared" si="3"/>
        <v>-0.74472749489669399</v>
      </c>
      <c r="M241">
        <v>7.1000000000000004E-3</v>
      </c>
      <c r="N241" t="s">
        <v>420</v>
      </c>
      <c r="O241" t="s">
        <v>421</v>
      </c>
      <c r="P241">
        <v>1990</v>
      </c>
      <c r="Q241" t="b">
        <v>1</v>
      </c>
    </row>
    <row r="242" spans="1:17" x14ac:dyDescent="0.2">
      <c r="A242" t="s">
        <v>71</v>
      </c>
      <c r="B242" t="s">
        <v>352</v>
      </c>
      <c r="D242" t="b">
        <v>1</v>
      </c>
      <c r="E242" t="b">
        <v>0</v>
      </c>
      <c r="G242">
        <v>24</v>
      </c>
      <c r="I242" t="s">
        <v>466</v>
      </c>
      <c r="J242">
        <v>3.5999999999999997E-2</v>
      </c>
      <c r="K242">
        <f t="shared" si="3"/>
        <v>-1.4436974992327127</v>
      </c>
      <c r="L242" s="6"/>
      <c r="M242">
        <v>1.9E-2</v>
      </c>
      <c r="O242" t="s">
        <v>353</v>
      </c>
      <c r="P242">
        <v>1977</v>
      </c>
      <c r="Q242" t="b">
        <v>1</v>
      </c>
    </row>
    <row r="243" spans="1:17" x14ac:dyDescent="0.2">
      <c r="A243" t="s">
        <v>71</v>
      </c>
      <c r="B243" t="s">
        <v>360</v>
      </c>
      <c r="D243" t="b">
        <v>1</v>
      </c>
      <c r="E243" t="b">
        <v>0</v>
      </c>
      <c r="G243">
        <v>23</v>
      </c>
      <c r="J243">
        <v>38</v>
      </c>
      <c r="K243">
        <f t="shared" si="3"/>
        <v>1.5797835966168101</v>
      </c>
      <c r="M243">
        <v>2.8000000000000001E-2</v>
      </c>
      <c r="O243" t="s">
        <v>361</v>
      </c>
      <c r="P243">
        <v>2007</v>
      </c>
      <c r="Q243" t="b">
        <v>1</v>
      </c>
    </row>
    <row r="244" spans="1:17" x14ac:dyDescent="0.2">
      <c r="A244" t="s">
        <v>71</v>
      </c>
      <c r="B244" t="s">
        <v>53</v>
      </c>
      <c r="D244" t="b">
        <v>1</v>
      </c>
      <c r="E244" t="b">
        <v>1</v>
      </c>
      <c r="G244">
        <v>24</v>
      </c>
      <c r="J244">
        <v>0.24</v>
      </c>
      <c r="K244">
        <f t="shared" si="3"/>
        <v>-0.61978875828839397</v>
      </c>
      <c r="M244">
        <v>5.5E-2</v>
      </c>
      <c r="O244" t="s">
        <v>363</v>
      </c>
      <c r="P244">
        <v>1984</v>
      </c>
      <c r="Q244" t="b">
        <v>1</v>
      </c>
    </row>
    <row r="245" spans="1:17" x14ac:dyDescent="0.2">
      <c r="A245" t="s">
        <v>71</v>
      </c>
      <c r="B245" t="s">
        <v>422</v>
      </c>
      <c r="D245" t="b">
        <v>1</v>
      </c>
      <c r="E245" t="b">
        <v>1</v>
      </c>
      <c r="G245">
        <v>26</v>
      </c>
      <c r="J245">
        <v>1.4</v>
      </c>
      <c r="K245">
        <f t="shared" si="3"/>
        <v>0.14612803567823801</v>
      </c>
      <c r="M245">
        <v>5.6000000000000001E-2</v>
      </c>
      <c r="O245" t="s">
        <v>423</v>
      </c>
      <c r="P245">
        <v>1969</v>
      </c>
      <c r="Q245" t="b">
        <v>1</v>
      </c>
    </row>
    <row r="246" spans="1:17" x14ac:dyDescent="0.2">
      <c r="A246" t="s">
        <v>71</v>
      </c>
      <c r="B246" t="s">
        <v>424</v>
      </c>
      <c r="D246" t="b">
        <v>1</v>
      </c>
      <c r="E246" t="b">
        <v>1</v>
      </c>
      <c r="G246">
        <v>26</v>
      </c>
      <c r="J246">
        <v>0.2</v>
      </c>
      <c r="K246">
        <f t="shared" si="3"/>
        <v>-0.69897000433601875</v>
      </c>
      <c r="M246">
        <v>9.2999999999999999E-2</v>
      </c>
      <c r="O246" t="s">
        <v>423</v>
      </c>
      <c r="P246">
        <v>1969</v>
      </c>
      <c r="Q246" t="b">
        <v>1</v>
      </c>
    </row>
    <row r="247" spans="1:17" x14ac:dyDescent="0.2">
      <c r="A247" t="s">
        <v>71</v>
      </c>
      <c r="B247" t="s">
        <v>333</v>
      </c>
      <c r="D247" t="b">
        <v>1</v>
      </c>
      <c r="E247" t="b">
        <v>1</v>
      </c>
      <c r="G247">
        <v>21</v>
      </c>
      <c r="J247">
        <v>2.1</v>
      </c>
      <c r="K247">
        <f t="shared" si="3"/>
        <v>0.3222192947339193</v>
      </c>
      <c r="M247">
        <v>1.7999999999999999E-2</v>
      </c>
      <c r="O247" t="s">
        <v>334</v>
      </c>
      <c r="P247">
        <v>2012</v>
      </c>
      <c r="Q247" t="b">
        <v>1</v>
      </c>
    </row>
    <row r="248" spans="1:17" x14ac:dyDescent="0.2">
      <c r="A248" t="s">
        <v>71</v>
      </c>
      <c r="B248" t="s">
        <v>425</v>
      </c>
      <c r="D248" t="b">
        <v>1</v>
      </c>
      <c r="E248" t="b">
        <v>1</v>
      </c>
      <c r="G248">
        <v>20</v>
      </c>
      <c r="J248">
        <v>3.1</v>
      </c>
      <c r="K248">
        <f t="shared" si="3"/>
        <v>0.49136169383427269</v>
      </c>
      <c r="M248">
        <v>5.5E-2</v>
      </c>
      <c r="N248" t="s">
        <v>426</v>
      </c>
      <c r="O248" t="s">
        <v>427</v>
      </c>
      <c r="P248">
        <v>1978</v>
      </c>
      <c r="Q248" t="b">
        <v>1</v>
      </c>
    </row>
    <row r="249" spans="1:17" x14ac:dyDescent="0.2">
      <c r="A249" t="s">
        <v>71</v>
      </c>
      <c r="B249" t="s">
        <v>389</v>
      </c>
      <c r="D249" t="b">
        <v>1</v>
      </c>
      <c r="E249" t="b">
        <v>1</v>
      </c>
      <c r="G249">
        <v>20</v>
      </c>
      <c r="J249">
        <v>15</v>
      </c>
      <c r="K249">
        <f t="shared" si="3"/>
        <v>1.1760912590556813</v>
      </c>
      <c r="M249">
        <v>1.9E-2</v>
      </c>
      <c r="O249" t="s">
        <v>390</v>
      </c>
      <c r="P249">
        <v>2000</v>
      </c>
      <c r="Q249" t="b">
        <v>1</v>
      </c>
    </row>
    <row r="250" spans="1:17" x14ac:dyDescent="0.2">
      <c r="A250" t="s">
        <v>71</v>
      </c>
      <c r="B250" t="s">
        <v>391</v>
      </c>
      <c r="D250" t="b">
        <v>1</v>
      </c>
      <c r="E250" t="b">
        <v>1</v>
      </c>
      <c r="G250">
        <v>20</v>
      </c>
      <c r="J250">
        <v>4</v>
      </c>
      <c r="K250">
        <f t="shared" si="3"/>
        <v>0.6020599913279624</v>
      </c>
      <c r="M250">
        <v>2.5999999999999999E-2</v>
      </c>
      <c r="O250" t="s">
        <v>390</v>
      </c>
      <c r="P250">
        <v>2000</v>
      </c>
      <c r="Q250" t="b">
        <v>1</v>
      </c>
    </row>
    <row r="251" spans="1:17" x14ac:dyDescent="0.2">
      <c r="A251" t="s">
        <v>71</v>
      </c>
      <c r="B251" t="s">
        <v>335</v>
      </c>
      <c r="D251" t="b">
        <v>1</v>
      </c>
      <c r="E251" t="b">
        <v>1</v>
      </c>
      <c r="G251">
        <v>20</v>
      </c>
      <c r="J251">
        <v>7.7</v>
      </c>
      <c r="K251">
        <f t="shared" si="3"/>
        <v>0.88649072517248184</v>
      </c>
      <c r="M251">
        <v>2.3E-2</v>
      </c>
      <c r="O251" t="s">
        <v>336</v>
      </c>
      <c r="P251">
        <v>1999</v>
      </c>
      <c r="Q251" t="b">
        <v>1</v>
      </c>
    </row>
    <row r="252" spans="1:17" x14ac:dyDescent="0.2">
      <c r="A252" t="s">
        <v>71</v>
      </c>
      <c r="B252" t="s">
        <v>394</v>
      </c>
      <c r="D252" t="b">
        <v>1</v>
      </c>
      <c r="E252" t="b">
        <v>1</v>
      </c>
      <c r="G252">
        <v>20</v>
      </c>
      <c r="J252">
        <v>0.86</v>
      </c>
      <c r="K252">
        <f t="shared" si="3"/>
        <v>-6.5501548756432285E-2</v>
      </c>
      <c r="M252">
        <v>0.11</v>
      </c>
      <c r="O252" t="s">
        <v>395</v>
      </c>
      <c r="P252">
        <v>2004</v>
      </c>
      <c r="Q252" t="b">
        <v>1</v>
      </c>
    </row>
    <row r="253" spans="1:17" x14ac:dyDescent="0.2">
      <c r="A253" t="s">
        <v>71</v>
      </c>
      <c r="B253" t="s">
        <v>394</v>
      </c>
      <c r="D253" t="b">
        <v>1</v>
      </c>
      <c r="E253" t="b">
        <v>1</v>
      </c>
      <c r="G253">
        <v>9</v>
      </c>
      <c r="J253">
        <v>0.76</v>
      </c>
      <c r="K253">
        <f t="shared" si="3"/>
        <v>-0.11918640771920865</v>
      </c>
      <c r="M253">
        <v>4.2000000000000003E-2</v>
      </c>
      <c r="O253" t="s">
        <v>395</v>
      </c>
      <c r="P253">
        <v>2004</v>
      </c>
      <c r="Q253" t="b">
        <v>1</v>
      </c>
    </row>
    <row r="254" spans="1:17" x14ac:dyDescent="0.2">
      <c r="A254" t="s">
        <v>71</v>
      </c>
      <c r="B254" t="s">
        <v>396</v>
      </c>
      <c r="D254" t="b">
        <v>1</v>
      </c>
      <c r="E254" t="b">
        <v>1</v>
      </c>
      <c r="G254">
        <v>20</v>
      </c>
      <c r="J254">
        <v>1.4</v>
      </c>
      <c r="K254">
        <f t="shared" si="3"/>
        <v>0.14612803567823801</v>
      </c>
      <c r="M254">
        <v>3.7999999999999999E-2</v>
      </c>
      <c r="O254" t="s">
        <v>397</v>
      </c>
      <c r="P254">
        <v>2004</v>
      </c>
      <c r="Q254" t="b">
        <v>1</v>
      </c>
    </row>
    <row r="255" spans="1:17" x14ac:dyDescent="0.2">
      <c r="A255" t="s">
        <v>71</v>
      </c>
      <c r="B255" t="s">
        <v>396</v>
      </c>
      <c r="D255" t="b">
        <v>1</v>
      </c>
      <c r="E255" t="b">
        <v>1</v>
      </c>
      <c r="G255">
        <v>9</v>
      </c>
      <c r="J255">
        <v>1.4</v>
      </c>
      <c r="K255">
        <f t="shared" si="3"/>
        <v>0.14612803567823801</v>
      </c>
      <c r="M255">
        <v>1.4E-2</v>
      </c>
      <c r="O255" t="s">
        <v>397</v>
      </c>
      <c r="P255">
        <v>2004</v>
      </c>
      <c r="Q255" t="b">
        <v>1</v>
      </c>
    </row>
    <row r="256" spans="1:17" x14ac:dyDescent="0.2">
      <c r="A256" t="s">
        <v>71</v>
      </c>
      <c r="B256" t="s">
        <v>337</v>
      </c>
      <c r="D256" t="b">
        <v>1</v>
      </c>
      <c r="E256" t="b">
        <v>1</v>
      </c>
      <c r="G256">
        <v>22</v>
      </c>
      <c r="J256">
        <v>1.7</v>
      </c>
      <c r="K256">
        <f t="shared" si="3"/>
        <v>0.23044892137827391</v>
      </c>
      <c r="M256">
        <v>2.8000000000000001E-2</v>
      </c>
      <c r="O256" t="s">
        <v>338</v>
      </c>
      <c r="P256">
        <v>1999</v>
      </c>
      <c r="Q256" t="b">
        <v>1</v>
      </c>
    </row>
    <row r="257" spans="1:17" x14ac:dyDescent="0.2">
      <c r="A257" t="s">
        <v>71</v>
      </c>
      <c r="B257" t="s">
        <v>339</v>
      </c>
      <c r="C257" t="s">
        <v>340</v>
      </c>
      <c r="D257" t="b">
        <v>1</v>
      </c>
      <c r="E257" t="b">
        <v>1</v>
      </c>
      <c r="G257">
        <v>5</v>
      </c>
      <c r="J257">
        <v>2.5</v>
      </c>
      <c r="K257">
        <f t="shared" si="3"/>
        <v>0.3979400086720376</v>
      </c>
      <c r="M257">
        <v>3.3000000000000002E-2</v>
      </c>
      <c r="O257" t="s">
        <v>338</v>
      </c>
      <c r="P257">
        <v>1999</v>
      </c>
      <c r="Q257" t="b">
        <v>1</v>
      </c>
    </row>
    <row r="258" spans="1:17" x14ac:dyDescent="0.2">
      <c r="A258" t="s">
        <v>71</v>
      </c>
      <c r="B258" t="s">
        <v>341</v>
      </c>
      <c r="C258" t="s">
        <v>342</v>
      </c>
      <c r="D258" t="b">
        <v>1</v>
      </c>
      <c r="E258" t="b">
        <v>1</v>
      </c>
      <c r="G258">
        <v>20</v>
      </c>
      <c r="J258">
        <v>63</v>
      </c>
      <c r="K258">
        <f t="shared" si="3"/>
        <v>1.7993405494535817</v>
      </c>
      <c r="M258">
        <v>0.1</v>
      </c>
      <c r="O258" t="s">
        <v>338</v>
      </c>
      <c r="P258">
        <v>1999</v>
      </c>
      <c r="Q258" t="b">
        <v>1</v>
      </c>
    </row>
    <row r="259" spans="1:17" x14ac:dyDescent="0.2">
      <c r="A259" t="s">
        <v>71</v>
      </c>
      <c r="B259" t="s">
        <v>337</v>
      </c>
      <c r="D259" t="b">
        <v>1</v>
      </c>
      <c r="E259" t="b">
        <v>1</v>
      </c>
      <c r="G259">
        <v>17</v>
      </c>
      <c r="J259">
        <v>3.3</v>
      </c>
      <c r="K259">
        <f t="shared" si="3"/>
        <v>0.51851393987788741</v>
      </c>
      <c r="M259">
        <v>2.7E-2</v>
      </c>
      <c r="O259" t="s">
        <v>338</v>
      </c>
      <c r="P259">
        <v>1999</v>
      </c>
      <c r="Q259" t="b">
        <v>1</v>
      </c>
    </row>
    <row r="260" spans="1:17" x14ac:dyDescent="0.2">
      <c r="A260" t="s">
        <v>71</v>
      </c>
      <c r="B260" t="s">
        <v>339</v>
      </c>
      <c r="C260" t="s">
        <v>340</v>
      </c>
      <c r="D260" t="b">
        <v>1</v>
      </c>
      <c r="E260" t="b">
        <v>1</v>
      </c>
      <c r="G260">
        <v>3</v>
      </c>
      <c r="J260">
        <v>8.1999999999999993</v>
      </c>
      <c r="K260">
        <f t="shared" si="3"/>
        <v>0.91381385238371671</v>
      </c>
      <c r="M260">
        <v>2.9000000000000001E-2</v>
      </c>
      <c r="O260" t="s">
        <v>338</v>
      </c>
      <c r="P260">
        <v>1999</v>
      </c>
      <c r="Q260" t="b">
        <v>1</v>
      </c>
    </row>
    <row r="261" spans="1:17" x14ac:dyDescent="0.2">
      <c r="A261" t="s">
        <v>71</v>
      </c>
      <c r="B261" t="s">
        <v>341</v>
      </c>
      <c r="C261" t="s">
        <v>342</v>
      </c>
      <c r="D261" t="b">
        <v>1</v>
      </c>
      <c r="E261" t="b">
        <v>1</v>
      </c>
      <c r="G261">
        <v>15</v>
      </c>
      <c r="J261">
        <v>77</v>
      </c>
      <c r="K261">
        <f t="shared" si="3"/>
        <v>1.8864907251724818</v>
      </c>
      <c r="M261">
        <v>9.5000000000000001E-2</v>
      </c>
      <c r="O261" t="s">
        <v>338</v>
      </c>
      <c r="P261">
        <v>1999</v>
      </c>
      <c r="Q261" t="b">
        <v>1</v>
      </c>
    </row>
    <row r="262" spans="1:17" x14ac:dyDescent="0.2">
      <c r="A262" t="s">
        <v>71</v>
      </c>
      <c r="B262" t="s">
        <v>337</v>
      </c>
      <c r="D262" t="b">
        <v>1</v>
      </c>
      <c r="E262" t="b">
        <v>1</v>
      </c>
      <c r="G262">
        <v>12</v>
      </c>
      <c r="J262">
        <v>5.7</v>
      </c>
      <c r="K262">
        <f t="shared" si="3"/>
        <v>0.75587485567249146</v>
      </c>
      <c r="M262">
        <v>0.02</v>
      </c>
      <c r="O262" t="s">
        <v>338</v>
      </c>
      <c r="P262">
        <v>1999</v>
      </c>
      <c r="Q262" t="b">
        <v>1</v>
      </c>
    </row>
    <row r="263" spans="1:17" x14ac:dyDescent="0.2">
      <c r="A263" t="s">
        <v>71</v>
      </c>
      <c r="B263" t="s">
        <v>339</v>
      </c>
      <c r="C263" t="s">
        <v>340</v>
      </c>
      <c r="D263" t="b">
        <v>1</v>
      </c>
      <c r="E263" t="b">
        <v>1</v>
      </c>
      <c r="G263">
        <v>1</v>
      </c>
      <c r="J263">
        <v>4.7</v>
      </c>
      <c r="K263">
        <f t="shared" si="3"/>
        <v>0.67209785793571752</v>
      </c>
      <c r="M263">
        <v>2.1999999999999999E-2</v>
      </c>
      <c r="O263" t="s">
        <v>338</v>
      </c>
      <c r="P263">
        <v>1999</v>
      </c>
      <c r="Q263" t="b">
        <v>1</v>
      </c>
    </row>
    <row r="264" spans="1:17" x14ac:dyDescent="0.2">
      <c r="A264" t="s">
        <v>71</v>
      </c>
      <c r="B264" t="s">
        <v>341</v>
      </c>
      <c r="C264" t="s">
        <v>342</v>
      </c>
      <c r="D264" t="b">
        <v>1</v>
      </c>
      <c r="E264" t="b">
        <v>1</v>
      </c>
      <c r="G264">
        <v>10</v>
      </c>
      <c r="J264">
        <v>71</v>
      </c>
      <c r="K264">
        <f t="shared" si="3"/>
        <v>1.8512583487190752</v>
      </c>
      <c r="M264">
        <v>4.4999999999999998E-2</v>
      </c>
      <c r="O264" t="s">
        <v>338</v>
      </c>
      <c r="P264">
        <v>1999</v>
      </c>
      <c r="Q264" t="b">
        <v>1</v>
      </c>
    </row>
    <row r="265" spans="1:17" x14ac:dyDescent="0.2">
      <c r="A265" t="s">
        <v>71</v>
      </c>
      <c r="B265" t="s">
        <v>341</v>
      </c>
      <c r="C265" t="s">
        <v>342</v>
      </c>
      <c r="D265" t="b">
        <v>1</v>
      </c>
      <c r="E265" t="b">
        <v>1</v>
      </c>
      <c r="G265">
        <v>25</v>
      </c>
      <c r="J265">
        <v>19</v>
      </c>
      <c r="K265">
        <f t="shared" si="3"/>
        <v>1.2787536009528289</v>
      </c>
      <c r="M265">
        <v>7.8E-2</v>
      </c>
      <c r="O265" t="s">
        <v>338</v>
      </c>
      <c r="P265">
        <v>1999</v>
      </c>
      <c r="Q265" t="b">
        <v>1</v>
      </c>
    </row>
    <row r="266" spans="1:17" x14ac:dyDescent="0.2">
      <c r="A266" t="s">
        <v>71</v>
      </c>
      <c r="B266" t="s">
        <v>415</v>
      </c>
      <c r="D266" t="b">
        <v>1</v>
      </c>
      <c r="E266" t="b">
        <v>1</v>
      </c>
      <c r="G266">
        <v>25</v>
      </c>
      <c r="J266">
        <v>7</v>
      </c>
      <c r="K266">
        <f t="shared" si="3"/>
        <v>0.84509804001425681</v>
      </c>
      <c r="M266">
        <v>3.5999999999999997E-2</v>
      </c>
      <c r="O266" t="s">
        <v>428</v>
      </c>
      <c r="P266">
        <v>1997</v>
      </c>
      <c r="Q266" t="b">
        <v>1</v>
      </c>
    </row>
    <row r="267" spans="1:17" x14ac:dyDescent="0.2">
      <c r="A267" t="s">
        <v>71</v>
      </c>
      <c r="B267" t="s">
        <v>53</v>
      </c>
      <c r="D267" t="b">
        <v>1</v>
      </c>
      <c r="E267" t="b">
        <v>1</v>
      </c>
      <c r="G267">
        <v>20</v>
      </c>
      <c r="J267">
        <v>4.4999999999999998E-2</v>
      </c>
      <c r="K267">
        <f t="shared" si="3"/>
        <v>-1.3467874862246563</v>
      </c>
      <c r="M267">
        <v>5.0999999999999997E-2</v>
      </c>
      <c r="O267" t="s">
        <v>344</v>
      </c>
      <c r="P267">
        <v>1978</v>
      </c>
      <c r="Q267" t="b">
        <v>1</v>
      </c>
    </row>
    <row r="268" spans="1:17" x14ac:dyDescent="0.2">
      <c r="A268" t="s">
        <v>71</v>
      </c>
      <c r="B268" t="s">
        <v>352</v>
      </c>
      <c r="D268" t="b">
        <v>1</v>
      </c>
      <c r="E268" t="b">
        <v>0</v>
      </c>
      <c r="G268">
        <v>20</v>
      </c>
      <c r="J268">
        <v>1.2</v>
      </c>
      <c r="K268">
        <f t="shared" si="3"/>
        <v>7.9181246047624818E-2</v>
      </c>
      <c r="M268">
        <v>3.5999999999999997E-2</v>
      </c>
      <c r="N268" t="s">
        <v>429</v>
      </c>
      <c r="O268" t="s">
        <v>430</v>
      </c>
      <c r="P268">
        <v>1980</v>
      </c>
      <c r="Q268" t="b">
        <v>1</v>
      </c>
    </row>
    <row r="269" spans="1:17" x14ac:dyDescent="0.2">
      <c r="K269">
        <f>STDEV(K22:K268)</f>
        <v>1.577192867718904</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DCD0-8EDA-E644-AB3E-2FFDC4DB84D7}">
  <dimension ref="A1:Z23"/>
  <sheetViews>
    <sheetView workbookViewId="0">
      <selection activeCell="J12" sqref="J12"/>
    </sheetView>
  </sheetViews>
  <sheetFormatPr baseColWidth="10" defaultRowHeight="16" x14ac:dyDescent="0.2"/>
  <cols>
    <col min="1" max="8" width="10.83203125" style="49"/>
    <col min="9" max="9" width="16.1640625" style="49" customWidth="1"/>
    <col min="10" max="10" width="16.6640625" style="49" customWidth="1"/>
    <col min="11" max="11" width="17" style="49" customWidth="1"/>
    <col min="12" max="13" width="10.83203125" style="49"/>
    <col min="14" max="14" width="11.6640625" style="49" bestFit="1" customWidth="1"/>
    <col min="15" max="19" width="10.83203125" style="49"/>
    <col min="27" max="16384" width="10.83203125" style="49"/>
  </cols>
  <sheetData>
    <row r="1" spans="1:19" ht="27" customHeight="1" x14ac:dyDescent="0.25">
      <c r="A1" s="48" t="s">
        <v>449</v>
      </c>
    </row>
    <row r="2" spans="1:19" ht="19" customHeight="1" x14ac:dyDescent="0.2">
      <c r="A2" s="49" t="s">
        <v>448</v>
      </c>
    </row>
    <row r="3" spans="1:19" s="49" customFormat="1" ht="45" customHeight="1" x14ac:dyDescent="0.2">
      <c r="A3" s="50" t="s">
        <v>0</v>
      </c>
      <c r="B3" s="50" t="s">
        <v>1</v>
      </c>
      <c r="C3" s="51" t="s">
        <v>2</v>
      </c>
      <c r="D3" s="50" t="s">
        <v>3</v>
      </c>
      <c r="E3" s="50" t="s">
        <v>4</v>
      </c>
      <c r="F3" s="50" t="s">
        <v>5</v>
      </c>
      <c r="G3" s="50" t="s">
        <v>6</v>
      </c>
      <c r="H3" s="50" t="s">
        <v>7</v>
      </c>
      <c r="I3" s="52" t="s">
        <v>450</v>
      </c>
      <c r="J3" s="53" t="s">
        <v>479</v>
      </c>
      <c r="K3" s="53" t="s">
        <v>480</v>
      </c>
      <c r="L3" s="54" t="s">
        <v>486</v>
      </c>
      <c r="M3" s="55" t="s">
        <v>8</v>
      </c>
      <c r="N3" s="55" t="s">
        <v>9</v>
      </c>
      <c r="O3" s="55" t="s">
        <v>10</v>
      </c>
      <c r="P3" s="55" t="s">
        <v>11</v>
      </c>
      <c r="Q3" s="56" t="s">
        <v>12</v>
      </c>
      <c r="R3" s="57" t="s">
        <v>13</v>
      </c>
      <c r="S3" s="58" t="s">
        <v>14</v>
      </c>
    </row>
    <row r="4" spans="1:19" ht="33" customHeight="1" x14ac:dyDescent="0.2">
      <c r="A4" s="59" t="s">
        <v>16</v>
      </c>
      <c r="B4" s="59" t="s">
        <v>17</v>
      </c>
      <c r="C4" s="60" t="s">
        <v>18</v>
      </c>
      <c r="D4" s="59"/>
      <c r="E4" s="59"/>
      <c r="F4" s="59" t="s">
        <v>19</v>
      </c>
      <c r="G4" s="59">
        <v>37</v>
      </c>
      <c r="H4" s="59" t="s">
        <v>20</v>
      </c>
      <c r="I4" s="59"/>
      <c r="J4" s="59"/>
      <c r="K4" s="59"/>
      <c r="M4" s="59" t="s">
        <v>21</v>
      </c>
      <c r="N4" s="59">
        <v>39.799999999999997</v>
      </c>
      <c r="O4" s="61"/>
      <c r="P4" s="59">
        <v>0.76</v>
      </c>
      <c r="Q4" s="61"/>
      <c r="R4" s="61" t="s">
        <v>478</v>
      </c>
      <c r="S4" s="49">
        <v>1978</v>
      </c>
    </row>
    <row r="5" spans="1:19" ht="33" customHeight="1" x14ac:dyDescent="0.2">
      <c r="A5" s="59" t="s">
        <v>16</v>
      </c>
      <c r="B5" s="59" t="s">
        <v>17</v>
      </c>
      <c r="C5" s="60" t="s">
        <v>22</v>
      </c>
      <c r="D5" s="59"/>
      <c r="E5" s="59"/>
      <c r="F5" s="59" t="s">
        <v>19</v>
      </c>
      <c r="G5" s="59">
        <v>20</v>
      </c>
      <c r="H5" s="59" t="s">
        <v>20</v>
      </c>
      <c r="I5" s="59" t="s">
        <v>451</v>
      </c>
      <c r="J5" s="59" t="s">
        <v>452</v>
      </c>
      <c r="K5" s="59">
        <v>1.98</v>
      </c>
      <c r="L5" s="49" t="s">
        <v>487</v>
      </c>
      <c r="M5" s="59" t="s">
        <v>23</v>
      </c>
      <c r="N5" s="59">
        <v>47</v>
      </c>
      <c r="O5" s="61"/>
      <c r="P5" s="59">
        <v>0.55000000000000004</v>
      </c>
      <c r="Q5" s="61" t="s">
        <v>24</v>
      </c>
      <c r="R5" s="62" t="s">
        <v>477</v>
      </c>
      <c r="S5" s="49">
        <v>1982</v>
      </c>
    </row>
    <row r="6" spans="1:19" ht="33" customHeight="1" x14ac:dyDescent="0.2">
      <c r="A6" s="59" t="s">
        <v>16</v>
      </c>
      <c r="B6" s="59" t="s">
        <v>17</v>
      </c>
      <c r="C6" s="60" t="s">
        <v>39</v>
      </c>
      <c r="D6" s="59"/>
      <c r="E6" s="59"/>
      <c r="F6" s="59" t="s">
        <v>19</v>
      </c>
      <c r="G6" s="59">
        <v>37</v>
      </c>
      <c r="H6" s="59" t="s">
        <v>40</v>
      </c>
      <c r="I6" s="59"/>
      <c r="J6" s="59"/>
      <c r="K6" s="59"/>
      <c r="M6" s="59" t="s">
        <v>41</v>
      </c>
      <c r="N6" s="59">
        <v>3</v>
      </c>
      <c r="O6" s="61"/>
      <c r="P6" s="59">
        <v>0.46079999999999999</v>
      </c>
      <c r="Q6" s="61"/>
      <c r="R6" s="61" t="s">
        <v>42</v>
      </c>
      <c r="S6" s="49">
        <v>1977</v>
      </c>
    </row>
    <row r="7" spans="1:19" ht="33" customHeight="1" x14ac:dyDescent="0.2">
      <c r="A7" s="59" t="s">
        <v>16</v>
      </c>
      <c r="B7" s="59" t="s">
        <v>17</v>
      </c>
      <c r="C7" s="60" t="s">
        <v>44</v>
      </c>
      <c r="D7" s="59"/>
      <c r="E7" s="59"/>
      <c r="F7" s="59" t="s">
        <v>19</v>
      </c>
      <c r="G7" s="59">
        <v>37</v>
      </c>
      <c r="H7" s="59" t="s">
        <v>49</v>
      </c>
      <c r="I7" s="59" t="s">
        <v>453</v>
      </c>
      <c r="J7" s="59" t="s">
        <v>454</v>
      </c>
      <c r="K7" s="59">
        <v>3.48</v>
      </c>
      <c r="L7" s="49" t="s">
        <v>488</v>
      </c>
      <c r="M7" s="59" t="s">
        <v>50</v>
      </c>
      <c r="N7" s="59">
        <v>5</v>
      </c>
      <c r="O7" s="61" t="s">
        <v>51</v>
      </c>
      <c r="P7" s="59">
        <v>0.9</v>
      </c>
      <c r="Q7" s="61" t="s">
        <v>52</v>
      </c>
      <c r="R7" s="61" t="s">
        <v>455</v>
      </c>
      <c r="S7" s="49">
        <v>2013</v>
      </c>
    </row>
    <row r="8" spans="1:19" ht="33" customHeight="1" x14ac:dyDescent="0.2">
      <c r="A8" s="59" t="s">
        <v>16</v>
      </c>
      <c r="B8" s="59" t="s">
        <v>17</v>
      </c>
      <c r="C8" s="63" t="s">
        <v>60</v>
      </c>
      <c r="D8" s="64"/>
      <c r="E8" s="64"/>
      <c r="F8" s="59" t="s">
        <v>33</v>
      </c>
      <c r="G8" s="59">
        <v>37</v>
      </c>
      <c r="H8" s="59" t="s">
        <v>20</v>
      </c>
      <c r="I8" s="59"/>
      <c r="J8" s="59"/>
      <c r="K8" s="59"/>
      <c r="M8" s="59" t="s">
        <v>61</v>
      </c>
      <c r="N8" s="64">
        <v>0.18</v>
      </c>
      <c r="O8" s="64"/>
      <c r="P8" s="59">
        <v>0.76</v>
      </c>
      <c r="Q8" s="64"/>
      <c r="R8" s="61" t="s">
        <v>62</v>
      </c>
      <c r="S8" s="49">
        <v>1985</v>
      </c>
    </row>
    <row r="9" spans="1:19" ht="33" customHeight="1" x14ac:dyDescent="0.2">
      <c r="A9" s="59" t="s">
        <v>16</v>
      </c>
      <c r="B9" s="59" t="s">
        <v>17</v>
      </c>
      <c r="C9" s="60" t="s">
        <v>60</v>
      </c>
      <c r="D9" s="59"/>
      <c r="E9" s="59"/>
      <c r="F9" s="59" t="s">
        <v>33</v>
      </c>
      <c r="G9" s="59">
        <v>28.4</v>
      </c>
      <c r="H9" s="59" t="s">
        <v>20</v>
      </c>
      <c r="I9" s="59"/>
      <c r="J9" s="59"/>
      <c r="K9" s="59"/>
      <c r="M9" s="59" t="s">
        <v>61</v>
      </c>
      <c r="N9" s="59">
        <v>0.18</v>
      </c>
      <c r="O9" s="61"/>
      <c r="P9" s="59">
        <v>0.54</v>
      </c>
      <c r="Q9" s="61"/>
      <c r="R9" s="61" t="s">
        <v>62</v>
      </c>
      <c r="S9" s="49">
        <v>1985</v>
      </c>
    </row>
    <row r="10" spans="1:19" ht="33" customHeight="1" x14ac:dyDescent="0.2">
      <c r="A10" s="59" t="s">
        <v>16</v>
      </c>
      <c r="B10" s="59" t="s">
        <v>17</v>
      </c>
      <c r="C10" s="60" t="s">
        <v>60</v>
      </c>
      <c r="D10" s="59"/>
      <c r="E10" s="59"/>
      <c r="F10" s="59" t="s">
        <v>33</v>
      </c>
      <c r="G10" s="59">
        <v>17.399999999999999</v>
      </c>
      <c r="H10" s="59" t="s">
        <v>20</v>
      </c>
      <c r="I10" s="59"/>
      <c r="J10" s="59"/>
      <c r="K10" s="59"/>
      <c r="M10" s="59" t="s">
        <v>61</v>
      </c>
      <c r="N10" s="59">
        <v>0.18</v>
      </c>
      <c r="O10" s="61"/>
      <c r="P10" s="59">
        <v>0.19</v>
      </c>
      <c r="Q10" s="61"/>
      <c r="R10" s="65" t="s">
        <v>62</v>
      </c>
      <c r="S10" s="49">
        <v>1985</v>
      </c>
    </row>
    <row r="11" spans="1:19" ht="33" customHeight="1" x14ac:dyDescent="0.2">
      <c r="A11" s="59" t="s">
        <v>16</v>
      </c>
      <c r="B11" s="59" t="s">
        <v>17</v>
      </c>
      <c r="C11" s="60" t="s">
        <v>85</v>
      </c>
      <c r="D11" s="59"/>
      <c r="E11" s="59"/>
      <c r="F11" s="59" t="s">
        <v>19</v>
      </c>
      <c r="G11" s="59">
        <v>26</v>
      </c>
      <c r="H11" s="59" t="s">
        <v>20</v>
      </c>
      <c r="I11" s="59"/>
      <c r="J11" s="59"/>
      <c r="K11" s="59"/>
      <c r="M11" s="59" t="s">
        <v>86</v>
      </c>
      <c r="N11" s="59">
        <v>13</v>
      </c>
      <c r="O11" s="61"/>
      <c r="P11" s="59">
        <v>0.55000000000000004</v>
      </c>
      <c r="Q11" s="61"/>
      <c r="R11" s="62" t="s">
        <v>87</v>
      </c>
      <c r="S11" s="49">
        <v>1993</v>
      </c>
    </row>
    <row r="12" spans="1:19" ht="33" customHeight="1" x14ac:dyDescent="0.2">
      <c r="A12" s="64" t="s">
        <v>16</v>
      </c>
      <c r="B12" s="64" t="s">
        <v>17</v>
      </c>
      <c r="C12" s="63"/>
      <c r="D12" s="64"/>
      <c r="E12" s="64"/>
      <c r="F12" s="64" t="s">
        <v>107</v>
      </c>
      <c r="G12" s="64">
        <v>20</v>
      </c>
      <c r="H12" s="59" t="s">
        <v>20</v>
      </c>
      <c r="I12" s="59"/>
      <c r="J12" s="59">
        <v>2.5</v>
      </c>
      <c r="K12" s="59">
        <v>2.5</v>
      </c>
      <c r="L12" s="49" t="s">
        <v>488</v>
      </c>
      <c r="M12" s="64" t="s">
        <v>108</v>
      </c>
      <c r="N12" s="64">
        <v>44</v>
      </c>
      <c r="P12" s="64">
        <v>0.65</v>
      </c>
      <c r="Q12" s="49" t="s">
        <v>109</v>
      </c>
      <c r="R12" s="61" t="s">
        <v>110</v>
      </c>
      <c r="S12" s="49">
        <v>1968</v>
      </c>
    </row>
    <row r="13" spans="1:19" ht="33" customHeight="1" x14ac:dyDescent="0.2">
      <c r="A13" s="59" t="s">
        <v>16</v>
      </c>
      <c r="B13" s="59" t="s">
        <v>17</v>
      </c>
      <c r="C13" s="60" t="s">
        <v>145</v>
      </c>
      <c r="D13" s="59"/>
      <c r="E13" s="59"/>
      <c r="F13" s="59" t="s">
        <v>33</v>
      </c>
      <c r="G13" s="59">
        <v>37</v>
      </c>
      <c r="H13" s="59" t="s">
        <v>20</v>
      </c>
      <c r="I13" s="59"/>
      <c r="J13" s="59"/>
      <c r="K13" s="59"/>
      <c r="M13" s="59" t="s">
        <v>146</v>
      </c>
      <c r="N13" s="59">
        <v>0.59699999999999998</v>
      </c>
      <c r="O13" s="61"/>
      <c r="P13" s="59">
        <v>0.54</v>
      </c>
      <c r="Q13" s="61"/>
      <c r="R13" s="61" t="s">
        <v>147</v>
      </c>
      <c r="S13" s="49">
        <v>1982</v>
      </c>
    </row>
    <row r="14" spans="1:19" ht="33" customHeight="1" x14ac:dyDescent="0.2">
      <c r="A14" s="59" t="s">
        <v>16</v>
      </c>
      <c r="B14" s="59" t="s">
        <v>17</v>
      </c>
      <c r="C14" s="60" t="s">
        <v>145</v>
      </c>
      <c r="D14" s="59"/>
      <c r="E14" s="59"/>
      <c r="F14" s="59" t="s">
        <v>19</v>
      </c>
      <c r="G14" s="59">
        <v>37</v>
      </c>
      <c r="H14" s="59" t="s">
        <v>20</v>
      </c>
      <c r="I14" s="59"/>
      <c r="J14" s="59"/>
      <c r="K14" s="59"/>
      <c r="M14" s="59" t="s">
        <v>148</v>
      </c>
      <c r="N14" s="59">
        <v>13</v>
      </c>
      <c r="O14" s="61"/>
      <c r="P14" s="59">
        <v>1.23</v>
      </c>
      <c r="Q14" s="61"/>
      <c r="R14" s="65" t="s">
        <v>147</v>
      </c>
      <c r="S14" s="49">
        <v>1982</v>
      </c>
    </row>
    <row r="15" spans="1:19" ht="33" customHeight="1" x14ac:dyDescent="0.2">
      <c r="A15" s="59" t="s">
        <v>16</v>
      </c>
      <c r="B15" s="59" t="s">
        <v>17</v>
      </c>
      <c r="C15" s="60" t="s">
        <v>60</v>
      </c>
      <c r="D15" s="59"/>
      <c r="E15" s="59"/>
      <c r="F15" s="59" t="s">
        <v>33</v>
      </c>
      <c r="G15" s="59">
        <v>40</v>
      </c>
      <c r="H15" s="59" t="s">
        <v>20</v>
      </c>
      <c r="I15" s="59" t="s">
        <v>456</v>
      </c>
      <c r="J15" s="59" t="s">
        <v>457</v>
      </c>
      <c r="K15" s="59">
        <v>0.18</v>
      </c>
      <c r="L15" s="49" t="s">
        <v>488</v>
      </c>
      <c r="M15" s="59" t="s">
        <v>149</v>
      </c>
      <c r="N15" s="59">
        <v>0.19</v>
      </c>
      <c r="O15" s="61"/>
      <c r="P15" s="59">
        <v>0.75</v>
      </c>
      <c r="Q15" s="61"/>
      <c r="R15" s="66" t="s">
        <v>150</v>
      </c>
      <c r="S15" s="49">
        <v>1996</v>
      </c>
    </row>
    <row r="16" spans="1:19" ht="33" customHeight="1" x14ac:dyDescent="0.2">
      <c r="A16" s="59" t="s">
        <v>16</v>
      </c>
      <c r="B16" s="59" t="s">
        <v>17</v>
      </c>
      <c r="C16" s="60" t="s">
        <v>185</v>
      </c>
      <c r="D16" s="59"/>
      <c r="E16" s="59"/>
      <c r="F16" s="59" t="s">
        <v>19</v>
      </c>
      <c r="G16" s="59">
        <v>37</v>
      </c>
      <c r="H16" s="59" t="s">
        <v>20</v>
      </c>
      <c r="I16" s="59"/>
      <c r="J16" s="59"/>
      <c r="K16" s="59"/>
      <c r="M16" s="59" t="s">
        <v>186</v>
      </c>
      <c r="N16" s="59">
        <v>22</v>
      </c>
      <c r="O16" s="61"/>
      <c r="P16" s="59">
        <v>0.94</v>
      </c>
      <c r="Q16" s="61"/>
      <c r="R16" s="61" t="s">
        <v>187</v>
      </c>
      <c r="S16" s="49">
        <v>1942</v>
      </c>
    </row>
    <row r="17" spans="1:19" ht="33" customHeight="1" x14ac:dyDescent="0.2">
      <c r="A17" s="59" t="s">
        <v>16</v>
      </c>
      <c r="B17" s="59" t="s">
        <v>17</v>
      </c>
      <c r="C17" s="60"/>
      <c r="D17" s="59"/>
      <c r="E17" s="59"/>
      <c r="F17" s="59" t="s">
        <v>33</v>
      </c>
      <c r="G17" s="59">
        <v>30</v>
      </c>
      <c r="H17" s="59" t="s">
        <v>20</v>
      </c>
      <c r="I17" s="59" t="s">
        <v>458</v>
      </c>
      <c r="J17" s="59">
        <v>1.875</v>
      </c>
      <c r="K17" s="59">
        <v>1.875</v>
      </c>
      <c r="L17" s="49" t="s">
        <v>489</v>
      </c>
      <c r="M17" s="59" t="s">
        <v>459</v>
      </c>
      <c r="N17" s="59">
        <v>490</v>
      </c>
      <c r="O17" s="61"/>
      <c r="P17" s="59">
        <v>0.98499999999999999</v>
      </c>
      <c r="Q17" s="61" t="s">
        <v>460</v>
      </c>
      <c r="R17" s="62" t="s">
        <v>230</v>
      </c>
      <c r="S17" s="49">
        <v>1964</v>
      </c>
    </row>
    <row r="18" spans="1:19" ht="33" customHeight="1" x14ac:dyDescent="0.2">
      <c r="A18" s="59" t="s">
        <v>16</v>
      </c>
      <c r="B18" s="59" t="s">
        <v>17</v>
      </c>
      <c r="C18" s="63" t="s">
        <v>60</v>
      </c>
      <c r="D18" s="64"/>
      <c r="E18" s="64"/>
      <c r="F18" s="59" t="s">
        <v>33</v>
      </c>
      <c r="G18" s="59">
        <v>37</v>
      </c>
      <c r="H18" s="59" t="s">
        <v>20</v>
      </c>
      <c r="I18" s="59" t="s">
        <v>456</v>
      </c>
      <c r="J18" s="59" t="s">
        <v>461</v>
      </c>
      <c r="K18" s="59">
        <v>2.2200000000000001E-5</v>
      </c>
      <c r="L18" s="49" t="s">
        <v>488</v>
      </c>
      <c r="M18" s="59" t="s">
        <v>231</v>
      </c>
      <c r="N18" s="64">
        <v>0.3</v>
      </c>
      <c r="O18" s="64"/>
      <c r="P18" s="59">
        <v>0.8</v>
      </c>
      <c r="Q18" s="64"/>
      <c r="R18" s="61" t="s">
        <v>232</v>
      </c>
      <c r="S18" s="49">
        <v>1994</v>
      </c>
    </row>
    <row r="19" spans="1:19" ht="33" customHeight="1" x14ac:dyDescent="0.2">
      <c r="A19" s="59" t="s">
        <v>16</v>
      </c>
      <c r="B19" s="59" t="s">
        <v>17</v>
      </c>
      <c r="C19" s="63" t="s">
        <v>60</v>
      </c>
      <c r="D19" s="64"/>
      <c r="E19" s="64"/>
      <c r="F19" s="59" t="s">
        <v>33</v>
      </c>
      <c r="G19" s="59">
        <v>37</v>
      </c>
      <c r="H19" s="59" t="s">
        <v>20</v>
      </c>
      <c r="I19" s="59" t="s">
        <v>456</v>
      </c>
      <c r="J19" s="59" t="s">
        <v>461</v>
      </c>
      <c r="K19" s="59">
        <v>2.2200000000000001E-5</v>
      </c>
      <c r="L19" s="49" t="s">
        <v>488</v>
      </c>
      <c r="M19" s="59" t="s">
        <v>233</v>
      </c>
      <c r="N19" s="59">
        <v>0.4</v>
      </c>
      <c r="O19" s="64"/>
      <c r="P19" s="59">
        <v>0.92</v>
      </c>
      <c r="Q19" s="64"/>
      <c r="R19" s="61" t="s">
        <v>232</v>
      </c>
      <c r="S19" s="49">
        <v>1994</v>
      </c>
    </row>
    <row r="20" spans="1:19" ht="33" customHeight="1" x14ac:dyDescent="0.2">
      <c r="A20" s="67" t="s">
        <v>16</v>
      </c>
      <c r="B20" s="64" t="s">
        <v>17</v>
      </c>
      <c r="C20" s="63" t="s">
        <v>155</v>
      </c>
      <c r="D20" s="64"/>
      <c r="E20" s="64"/>
      <c r="F20" s="64" t="s">
        <v>19</v>
      </c>
      <c r="G20" s="64">
        <v>30</v>
      </c>
      <c r="H20" s="59" t="s">
        <v>20</v>
      </c>
      <c r="I20" s="59" t="s">
        <v>462</v>
      </c>
      <c r="J20" s="59" t="s">
        <v>463</v>
      </c>
      <c r="K20" s="59">
        <v>1.8000000000000001E-4</v>
      </c>
      <c r="L20" s="49" t="s">
        <v>488</v>
      </c>
      <c r="M20" s="64" t="s">
        <v>236</v>
      </c>
      <c r="N20" s="64">
        <v>0.38</v>
      </c>
      <c r="O20" s="64"/>
      <c r="P20" s="64">
        <v>0.78</v>
      </c>
      <c r="Q20" s="64" t="s">
        <v>24</v>
      </c>
      <c r="R20" s="61" t="s">
        <v>237</v>
      </c>
      <c r="S20" s="49">
        <v>1971</v>
      </c>
    </row>
    <row r="21" spans="1:19" ht="33" customHeight="1" x14ac:dyDescent="0.2">
      <c r="A21" s="68" t="s">
        <v>16</v>
      </c>
      <c r="B21" s="61" t="s">
        <v>17</v>
      </c>
      <c r="C21" s="63" t="s">
        <v>300</v>
      </c>
      <c r="D21" s="64"/>
      <c r="E21" s="64"/>
      <c r="F21" s="61" t="s">
        <v>19</v>
      </c>
      <c r="G21" s="64">
        <v>37</v>
      </c>
      <c r="H21" s="59" t="s">
        <v>20</v>
      </c>
      <c r="I21" s="59"/>
      <c r="J21" s="59"/>
      <c r="K21" s="59"/>
      <c r="L21" s="49" t="s">
        <v>488</v>
      </c>
      <c r="M21" s="61" t="s">
        <v>301</v>
      </c>
      <c r="N21" s="64">
        <v>0.40400000000000003</v>
      </c>
      <c r="O21" s="64"/>
      <c r="P21" s="64">
        <v>0.77259999999999995</v>
      </c>
      <c r="Q21" s="61" t="s">
        <v>302</v>
      </c>
      <c r="R21" s="61" t="s">
        <v>303</v>
      </c>
      <c r="S21" s="69">
        <v>1994</v>
      </c>
    </row>
    <row r="22" spans="1:19" ht="33" customHeight="1" x14ac:dyDescent="0.2">
      <c r="A22" s="68" t="s">
        <v>16</v>
      </c>
      <c r="B22" s="61" t="s">
        <v>17</v>
      </c>
      <c r="C22" s="63" t="s">
        <v>304</v>
      </c>
      <c r="D22" s="64"/>
      <c r="E22" s="64"/>
      <c r="F22" s="61" t="s">
        <v>19</v>
      </c>
      <c r="G22" s="64">
        <v>37</v>
      </c>
      <c r="H22" s="59" t="s">
        <v>20</v>
      </c>
      <c r="I22" s="59"/>
      <c r="J22" s="59"/>
      <c r="K22" s="59"/>
      <c r="L22" s="49" t="s">
        <v>488</v>
      </c>
      <c r="M22" s="61" t="s">
        <v>305</v>
      </c>
      <c r="N22" s="64">
        <v>0.48899999999999999</v>
      </c>
      <c r="O22" s="64"/>
      <c r="P22" s="64">
        <v>0.88870000000000005</v>
      </c>
      <c r="Q22" s="61" t="s">
        <v>306</v>
      </c>
      <c r="R22" s="61" t="s">
        <v>303</v>
      </c>
      <c r="S22" s="69">
        <v>1994</v>
      </c>
    </row>
    <row r="23" spans="1:19" ht="33" customHeight="1" x14ac:dyDescent="0.2">
      <c r="A23" s="59" t="s">
        <v>16</v>
      </c>
      <c r="B23" s="59" t="s">
        <v>17</v>
      </c>
      <c r="C23" s="60" t="s">
        <v>307</v>
      </c>
      <c r="D23" s="59"/>
      <c r="E23" s="59"/>
      <c r="F23" s="59" t="s">
        <v>19</v>
      </c>
      <c r="G23" s="59">
        <v>37</v>
      </c>
      <c r="H23" s="59" t="s">
        <v>20</v>
      </c>
      <c r="I23" s="59" t="s">
        <v>464</v>
      </c>
      <c r="J23" s="59" t="s">
        <v>465</v>
      </c>
      <c r="K23" s="59">
        <v>0.66</v>
      </c>
      <c r="L23" s="49" t="s">
        <v>490</v>
      </c>
      <c r="M23" s="59" t="s">
        <v>308</v>
      </c>
      <c r="N23" s="59">
        <v>1</v>
      </c>
      <c r="O23" s="65"/>
      <c r="P23" s="59">
        <v>1.04</v>
      </c>
      <c r="Q23" s="61"/>
      <c r="R23" s="70" t="s">
        <v>309</v>
      </c>
      <c r="S23" s="49">
        <v>1971</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FA10-85B4-444A-9FF0-791515AF2A99}">
  <dimension ref="A1:O21"/>
  <sheetViews>
    <sheetView workbookViewId="0">
      <selection activeCell="P9" sqref="P9"/>
    </sheetView>
  </sheetViews>
  <sheetFormatPr baseColWidth="10" defaultRowHeight="35" customHeight="1" x14ac:dyDescent="0.2"/>
  <cols>
    <col min="1" max="1" width="10.83203125" style="10"/>
    <col min="2" max="2" width="17.33203125" style="10" customWidth="1"/>
    <col min="3" max="9" width="10.83203125" style="10"/>
    <col min="10" max="10" width="11.6640625" style="10" bestFit="1" customWidth="1"/>
    <col min="11" max="11" width="23.33203125" style="10" customWidth="1"/>
    <col min="12" max="16384" width="10.83203125" style="10"/>
  </cols>
  <sheetData>
    <row r="1" spans="1:15" ht="35" customHeight="1" x14ac:dyDescent="0.25">
      <c r="A1" s="9" t="s">
        <v>481</v>
      </c>
    </row>
    <row r="2" spans="1:15" ht="19" customHeight="1" x14ac:dyDescent="0.2">
      <c r="A2" s="10" t="s">
        <v>448</v>
      </c>
    </row>
    <row r="3" spans="1:15" ht="33" customHeight="1" x14ac:dyDescent="0.2">
      <c r="A3" s="11" t="s">
        <v>0</v>
      </c>
      <c r="B3" s="11" t="s">
        <v>1</v>
      </c>
      <c r="C3" s="12" t="s">
        <v>2</v>
      </c>
      <c r="D3" s="11" t="s">
        <v>3</v>
      </c>
      <c r="E3" s="11" t="s">
        <v>4</v>
      </c>
      <c r="F3" s="11" t="s">
        <v>5</v>
      </c>
      <c r="G3" s="11" t="s">
        <v>6</v>
      </c>
      <c r="H3" s="11" t="s">
        <v>7</v>
      </c>
      <c r="I3" s="13" t="s">
        <v>8</v>
      </c>
      <c r="J3" s="13" t="s">
        <v>9</v>
      </c>
      <c r="K3" s="14" t="s">
        <v>482</v>
      </c>
      <c r="L3" s="13" t="s">
        <v>11</v>
      </c>
      <c r="M3" s="15" t="s">
        <v>12</v>
      </c>
      <c r="N3" s="16" t="s">
        <v>13</v>
      </c>
      <c r="O3" s="17" t="s">
        <v>14</v>
      </c>
    </row>
    <row r="4" spans="1:15" s="23" customFormat="1" ht="35" customHeight="1" x14ac:dyDescent="0.2">
      <c r="A4" s="18" t="s">
        <v>16</v>
      </c>
      <c r="B4" s="18" t="s">
        <v>133</v>
      </c>
      <c r="C4" s="19">
        <v>10558</v>
      </c>
      <c r="D4" s="18"/>
      <c r="E4" s="18"/>
      <c r="F4" s="18" t="s">
        <v>33</v>
      </c>
      <c r="G4" s="18">
        <v>37</v>
      </c>
      <c r="H4" s="18" t="s">
        <v>134</v>
      </c>
      <c r="I4" s="18" t="s">
        <v>135</v>
      </c>
      <c r="J4" s="20">
        <v>111</v>
      </c>
      <c r="K4" s="21">
        <f>J4/J5</f>
        <v>0.33944954128440369</v>
      </c>
      <c r="L4" s="18">
        <v>0.84</v>
      </c>
      <c r="M4" s="22" t="s">
        <v>121</v>
      </c>
      <c r="N4" s="18" t="s">
        <v>483</v>
      </c>
      <c r="O4" s="23">
        <v>1983</v>
      </c>
    </row>
    <row r="5" spans="1:15" s="23" customFormat="1" ht="35" customHeight="1" x14ac:dyDescent="0.2">
      <c r="A5" s="18" t="s">
        <v>16</v>
      </c>
      <c r="B5" s="18" t="s">
        <v>133</v>
      </c>
      <c r="C5" s="19">
        <v>10558</v>
      </c>
      <c r="D5" s="18"/>
      <c r="E5" s="18"/>
      <c r="F5" s="18" t="s">
        <v>19</v>
      </c>
      <c r="G5" s="18">
        <v>37</v>
      </c>
      <c r="H5" s="18" t="s">
        <v>134</v>
      </c>
      <c r="I5" s="18" t="s">
        <v>137</v>
      </c>
      <c r="J5" s="20">
        <v>327</v>
      </c>
      <c r="K5" s="21"/>
      <c r="L5" s="18">
        <v>0.83</v>
      </c>
      <c r="M5" s="18"/>
      <c r="N5" s="18" t="s">
        <v>483</v>
      </c>
      <c r="O5" s="23">
        <v>1983</v>
      </c>
    </row>
    <row r="6" spans="1:15" s="28" customFormat="1" ht="35" customHeight="1" x14ac:dyDescent="0.2">
      <c r="A6" s="24" t="s">
        <v>25</v>
      </c>
      <c r="B6" s="24" t="s">
        <v>26</v>
      </c>
      <c r="C6" s="25"/>
      <c r="D6" s="22" t="b">
        <v>1</v>
      </c>
      <c r="E6" s="22" t="b">
        <v>1</v>
      </c>
      <c r="F6" s="24" t="s">
        <v>19</v>
      </c>
      <c r="G6" s="24">
        <v>20</v>
      </c>
      <c r="H6" s="22" t="s">
        <v>28</v>
      </c>
      <c r="I6" s="24" t="s">
        <v>182</v>
      </c>
      <c r="J6" s="24">
        <v>0.88</v>
      </c>
      <c r="K6" s="26">
        <f>J7/J6</f>
        <v>1.4090909090909092</v>
      </c>
      <c r="L6" s="22">
        <v>4.5000000000000005E-2</v>
      </c>
      <c r="M6" s="24"/>
      <c r="N6" s="22" t="s">
        <v>484</v>
      </c>
      <c r="O6" s="27">
        <v>1982</v>
      </c>
    </row>
    <row r="7" spans="1:15" s="28" customFormat="1" ht="35" customHeight="1" x14ac:dyDescent="0.2">
      <c r="A7" s="24" t="s">
        <v>25</v>
      </c>
      <c r="B7" s="22" t="s">
        <v>26</v>
      </c>
      <c r="C7" s="29"/>
      <c r="D7" s="22" t="b">
        <v>1</v>
      </c>
      <c r="E7" s="22" t="b">
        <v>1</v>
      </c>
      <c r="F7" s="22" t="s">
        <v>27</v>
      </c>
      <c r="G7" s="22">
        <v>20</v>
      </c>
      <c r="H7" s="22" t="s">
        <v>28</v>
      </c>
      <c r="I7" s="22" t="s">
        <v>184</v>
      </c>
      <c r="J7" s="30">
        <v>1.24</v>
      </c>
      <c r="K7" s="21"/>
      <c r="L7" s="22">
        <v>5.3999999999999999E-2</v>
      </c>
      <c r="M7" s="22" t="s">
        <v>121</v>
      </c>
      <c r="N7" s="22" t="s">
        <v>484</v>
      </c>
      <c r="O7" s="27">
        <v>1982</v>
      </c>
    </row>
    <row r="8" spans="1:15" s="23" customFormat="1" ht="33" customHeight="1" x14ac:dyDescent="0.2">
      <c r="A8" s="20" t="s">
        <v>16</v>
      </c>
      <c r="B8" s="20" t="s">
        <v>17</v>
      </c>
      <c r="C8" s="31" t="s">
        <v>145</v>
      </c>
      <c r="D8" s="20"/>
      <c r="E8" s="20"/>
      <c r="F8" s="20" t="s">
        <v>33</v>
      </c>
      <c r="G8" s="20">
        <v>37</v>
      </c>
      <c r="H8" s="20" t="s">
        <v>20</v>
      </c>
      <c r="I8" s="20" t="s">
        <v>146</v>
      </c>
      <c r="J8" s="20">
        <v>0.59699999999999998</v>
      </c>
      <c r="K8" s="21">
        <f>J8/J9</f>
        <v>4.5923076923076921E-2</v>
      </c>
      <c r="L8" s="20">
        <v>0.54</v>
      </c>
      <c r="M8" s="22" t="s">
        <v>121</v>
      </c>
      <c r="N8" s="18" t="s">
        <v>147</v>
      </c>
      <c r="O8" s="23">
        <v>1982</v>
      </c>
    </row>
    <row r="9" spans="1:15" s="23" customFormat="1" ht="33" customHeight="1" x14ac:dyDescent="0.2">
      <c r="A9" s="20" t="s">
        <v>16</v>
      </c>
      <c r="B9" s="20" t="s">
        <v>17</v>
      </c>
      <c r="C9" s="31" t="s">
        <v>145</v>
      </c>
      <c r="D9" s="20"/>
      <c r="E9" s="20"/>
      <c r="F9" s="20" t="s">
        <v>19</v>
      </c>
      <c r="G9" s="20">
        <v>37</v>
      </c>
      <c r="H9" s="20" t="s">
        <v>20</v>
      </c>
      <c r="I9" s="20" t="s">
        <v>148</v>
      </c>
      <c r="J9" s="20">
        <v>13</v>
      </c>
      <c r="K9" s="21"/>
      <c r="L9" s="20">
        <v>1.23</v>
      </c>
      <c r="M9" s="18"/>
      <c r="N9" s="32" t="s">
        <v>147</v>
      </c>
      <c r="O9" s="23">
        <v>1982</v>
      </c>
    </row>
    <row r="10" spans="1:15" s="28" customFormat="1" ht="33" customHeight="1" x14ac:dyDescent="0.2">
      <c r="A10" s="30" t="s">
        <v>123</v>
      </c>
      <c r="B10" s="30" t="s">
        <v>111</v>
      </c>
      <c r="C10" s="33">
        <v>208</v>
      </c>
      <c r="D10" s="30"/>
      <c r="E10" s="30"/>
      <c r="F10" s="34" t="s">
        <v>107</v>
      </c>
      <c r="G10" s="30">
        <v>20</v>
      </c>
      <c r="H10" s="30" t="s">
        <v>112</v>
      </c>
      <c r="I10" s="30" t="s">
        <v>124</v>
      </c>
      <c r="J10" s="30">
        <v>10</v>
      </c>
      <c r="K10" s="21">
        <f>J11/J10</f>
        <v>5</v>
      </c>
      <c r="L10" s="30">
        <v>0.15</v>
      </c>
      <c r="M10" s="22"/>
      <c r="N10" s="22" t="s">
        <v>485</v>
      </c>
      <c r="O10" s="28">
        <v>1968</v>
      </c>
    </row>
    <row r="11" spans="1:15" s="28" customFormat="1" ht="33" customHeight="1" x14ac:dyDescent="0.2">
      <c r="A11" s="30" t="s">
        <v>123</v>
      </c>
      <c r="B11" s="30" t="s">
        <v>111</v>
      </c>
      <c r="C11" s="33">
        <v>208</v>
      </c>
      <c r="D11" s="30"/>
      <c r="E11" s="30"/>
      <c r="F11" s="34" t="s">
        <v>107</v>
      </c>
      <c r="G11" s="30">
        <v>20</v>
      </c>
      <c r="H11" s="24" t="s">
        <v>112</v>
      </c>
      <c r="I11" s="30" t="s">
        <v>129</v>
      </c>
      <c r="J11" s="30">
        <v>50</v>
      </c>
      <c r="K11" s="21"/>
      <c r="L11" s="30">
        <v>0.4</v>
      </c>
      <c r="M11" s="22" t="s">
        <v>121</v>
      </c>
      <c r="N11" s="22" t="s">
        <v>485</v>
      </c>
      <c r="O11" s="27">
        <v>1968</v>
      </c>
    </row>
    <row r="12" spans="1:15" s="23" customFormat="1" ht="33" customHeight="1" x14ac:dyDescent="0.2">
      <c r="A12" s="20" t="s">
        <v>123</v>
      </c>
      <c r="B12" s="20" t="s">
        <v>115</v>
      </c>
      <c r="C12" s="31">
        <v>204</v>
      </c>
      <c r="D12" s="20"/>
      <c r="E12" s="20"/>
      <c r="F12" s="35" t="s">
        <v>107</v>
      </c>
      <c r="G12" s="20">
        <v>20</v>
      </c>
      <c r="H12" s="36" t="s">
        <v>112</v>
      </c>
      <c r="I12" s="20" t="s">
        <v>125</v>
      </c>
      <c r="J12" s="20">
        <v>8</v>
      </c>
      <c r="K12" s="37">
        <f>J12:J13</f>
        <v>8</v>
      </c>
      <c r="L12" s="20">
        <v>0.15</v>
      </c>
      <c r="M12" s="18"/>
      <c r="N12" s="18" t="s">
        <v>485</v>
      </c>
      <c r="O12" s="23">
        <v>1968</v>
      </c>
    </row>
    <row r="13" spans="1:15" s="23" customFormat="1" ht="33" customHeight="1" x14ac:dyDescent="0.2">
      <c r="A13" s="20" t="s">
        <v>123</v>
      </c>
      <c r="B13" s="20" t="s">
        <v>115</v>
      </c>
      <c r="C13" s="31">
        <v>204</v>
      </c>
      <c r="D13" s="20"/>
      <c r="E13" s="20"/>
      <c r="F13" s="35" t="s">
        <v>107</v>
      </c>
      <c r="G13" s="20">
        <v>20</v>
      </c>
      <c r="H13" s="36" t="s">
        <v>112</v>
      </c>
      <c r="I13" s="20" t="s">
        <v>130</v>
      </c>
      <c r="J13" s="20">
        <v>95</v>
      </c>
      <c r="K13" s="21"/>
      <c r="L13" s="20">
        <v>0.8</v>
      </c>
      <c r="M13" s="18" t="s">
        <v>121</v>
      </c>
      <c r="N13" s="18" t="s">
        <v>485</v>
      </c>
      <c r="O13" s="38">
        <v>1968</v>
      </c>
    </row>
    <row r="14" spans="1:15" s="45" customFormat="1" ht="33" customHeight="1" x14ac:dyDescent="0.2">
      <c r="A14" s="39" t="s">
        <v>123</v>
      </c>
      <c r="B14" s="39" t="s">
        <v>126</v>
      </c>
      <c r="C14" s="40">
        <v>101</v>
      </c>
      <c r="D14" s="39"/>
      <c r="E14" s="39"/>
      <c r="F14" s="41" t="s">
        <v>107</v>
      </c>
      <c r="G14" s="39">
        <v>20</v>
      </c>
      <c r="H14" s="42" t="s">
        <v>112</v>
      </c>
      <c r="I14" s="39" t="s">
        <v>127</v>
      </c>
      <c r="J14" s="39">
        <v>30</v>
      </c>
      <c r="K14" s="21">
        <f>J15/J14</f>
        <v>4</v>
      </c>
      <c r="L14" s="39">
        <v>0.45</v>
      </c>
      <c r="M14" s="43"/>
      <c r="N14" s="43" t="s">
        <v>485</v>
      </c>
      <c r="O14" s="44">
        <v>1968</v>
      </c>
    </row>
    <row r="15" spans="1:15" s="45" customFormat="1" ht="33" customHeight="1" x14ac:dyDescent="0.2">
      <c r="A15" s="39" t="s">
        <v>123</v>
      </c>
      <c r="B15" s="39" t="s">
        <v>126</v>
      </c>
      <c r="C15" s="40">
        <v>101</v>
      </c>
      <c r="D15" s="39"/>
      <c r="E15" s="39"/>
      <c r="F15" s="41" t="s">
        <v>107</v>
      </c>
      <c r="G15" s="39">
        <v>20</v>
      </c>
      <c r="H15" s="42" t="s">
        <v>112</v>
      </c>
      <c r="I15" s="39" t="s">
        <v>131</v>
      </c>
      <c r="J15" s="39">
        <v>120</v>
      </c>
      <c r="K15" s="21"/>
      <c r="L15" s="39">
        <v>1.1000000000000001</v>
      </c>
      <c r="M15" s="43" t="s">
        <v>121</v>
      </c>
      <c r="N15" s="46" t="s">
        <v>485</v>
      </c>
      <c r="O15" s="44">
        <v>1968</v>
      </c>
    </row>
    <row r="16" spans="1:15" s="23" customFormat="1" ht="33" customHeight="1" x14ac:dyDescent="0.2">
      <c r="A16" s="20" t="s">
        <v>123</v>
      </c>
      <c r="B16" s="20" t="s">
        <v>118</v>
      </c>
      <c r="C16" s="31">
        <v>201</v>
      </c>
      <c r="D16" s="20"/>
      <c r="E16" s="20"/>
      <c r="F16" s="35" t="s">
        <v>107</v>
      </c>
      <c r="G16" s="20">
        <v>20</v>
      </c>
      <c r="H16" s="36" t="s">
        <v>112</v>
      </c>
      <c r="I16" s="20" t="s">
        <v>128</v>
      </c>
      <c r="J16" s="20">
        <v>90</v>
      </c>
      <c r="K16" s="21">
        <f>J17/J16</f>
        <v>1.6666666666666667</v>
      </c>
      <c r="L16" s="20">
        <v>0.8</v>
      </c>
      <c r="M16" s="18"/>
      <c r="N16" s="18" t="s">
        <v>485</v>
      </c>
      <c r="O16" s="38">
        <v>1968</v>
      </c>
    </row>
    <row r="17" spans="1:15" s="23" customFormat="1" ht="33" customHeight="1" x14ac:dyDescent="0.2">
      <c r="A17" s="20" t="s">
        <v>123</v>
      </c>
      <c r="B17" s="20" t="s">
        <v>118</v>
      </c>
      <c r="C17" s="31">
        <v>201</v>
      </c>
      <c r="D17" s="20"/>
      <c r="E17" s="20"/>
      <c r="F17" s="35" t="s">
        <v>107</v>
      </c>
      <c r="G17" s="20">
        <v>20</v>
      </c>
      <c r="H17" s="36" t="s">
        <v>112</v>
      </c>
      <c r="I17" s="20" t="s">
        <v>132</v>
      </c>
      <c r="J17" s="20">
        <v>150</v>
      </c>
      <c r="K17" s="21"/>
      <c r="L17" s="20">
        <v>1.4</v>
      </c>
      <c r="M17" s="18" t="s">
        <v>121</v>
      </c>
      <c r="N17" s="18" t="s">
        <v>485</v>
      </c>
      <c r="O17" s="38">
        <v>1968</v>
      </c>
    </row>
    <row r="18" spans="1:15" s="45" customFormat="1" ht="33" customHeight="1" x14ac:dyDescent="0.2">
      <c r="A18" s="39" t="s">
        <v>16</v>
      </c>
      <c r="B18" s="39" t="s">
        <v>111</v>
      </c>
      <c r="C18" s="40">
        <v>208</v>
      </c>
      <c r="D18" s="39"/>
      <c r="E18" s="39"/>
      <c r="F18" s="41" t="s">
        <v>107</v>
      </c>
      <c r="G18" s="39">
        <v>20</v>
      </c>
      <c r="H18" s="42" t="s">
        <v>112</v>
      </c>
      <c r="I18" s="39" t="s">
        <v>113</v>
      </c>
      <c r="J18" s="39">
        <v>30</v>
      </c>
      <c r="K18" s="47">
        <f>J19/J18</f>
        <v>4</v>
      </c>
      <c r="L18" s="39">
        <v>0.35</v>
      </c>
      <c r="M18" s="43"/>
      <c r="N18" s="42" t="s">
        <v>485</v>
      </c>
      <c r="O18" s="45">
        <v>1968</v>
      </c>
    </row>
    <row r="19" spans="1:15" s="45" customFormat="1" ht="33" customHeight="1" x14ac:dyDescent="0.2">
      <c r="A19" s="39" t="s">
        <v>16</v>
      </c>
      <c r="B19" s="39" t="s">
        <v>111</v>
      </c>
      <c r="C19" s="40">
        <v>208</v>
      </c>
      <c r="D19" s="39"/>
      <c r="E19" s="39"/>
      <c r="F19" s="41" t="s">
        <v>107</v>
      </c>
      <c r="G19" s="39">
        <v>20</v>
      </c>
      <c r="H19" s="42" t="s">
        <v>112</v>
      </c>
      <c r="I19" s="39" t="s">
        <v>120</v>
      </c>
      <c r="J19" s="39">
        <v>120</v>
      </c>
      <c r="K19" s="21"/>
      <c r="L19" s="39">
        <v>0.9</v>
      </c>
      <c r="M19" s="43" t="s">
        <v>121</v>
      </c>
      <c r="N19" s="46" t="s">
        <v>485</v>
      </c>
      <c r="O19" s="45">
        <v>1968</v>
      </c>
    </row>
    <row r="20" spans="1:15" s="23" customFormat="1" ht="33" customHeight="1" x14ac:dyDescent="0.2">
      <c r="A20" s="20" t="s">
        <v>16</v>
      </c>
      <c r="B20" s="20" t="s">
        <v>118</v>
      </c>
      <c r="C20" s="31">
        <v>201</v>
      </c>
      <c r="D20" s="20"/>
      <c r="E20" s="20"/>
      <c r="F20" s="35" t="s">
        <v>107</v>
      </c>
      <c r="G20" s="20">
        <v>20</v>
      </c>
      <c r="H20" s="36" t="s">
        <v>112</v>
      </c>
      <c r="I20" s="20" t="s">
        <v>119</v>
      </c>
      <c r="J20" s="20">
        <v>105</v>
      </c>
      <c r="K20" s="21">
        <f>J21/J20</f>
        <v>1.7142857142857142</v>
      </c>
      <c r="L20" s="20">
        <v>0.95</v>
      </c>
      <c r="M20" s="18"/>
      <c r="N20" s="36" t="s">
        <v>485</v>
      </c>
      <c r="O20" s="23">
        <v>1968</v>
      </c>
    </row>
    <row r="21" spans="1:15" s="23" customFormat="1" ht="33" customHeight="1" x14ac:dyDescent="0.2">
      <c r="A21" s="20" t="s">
        <v>16</v>
      </c>
      <c r="B21" s="20" t="s">
        <v>118</v>
      </c>
      <c r="C21" s="31">
        <v>201</v>
      </c>
      <c r="D21" s="20"/>
      <c r="E21" s="20"/>
      <c r="F21" s="35" t="s">
        <v>107</v>
      </c>
      <c r="G21" s="20">
        <v>20</v>
      </c>
      <c r="H21" s="36" t="s">
        <v>112</v>
      </c>
      <c r="I21" s="20">
        <v>18</v>
      </c>
      <c r="J21" s="20">
        <v>180</v>
      </c>
      <c r="K21" s="21"/>
      <c r="L21" s="20">
        <v>1.6</v>
      </c>
      <c r="M21" s="18" t="s">
        <v>121</v>
      </c>
      <c r="N21" s="18" t="s">
        <v>485</v>
      </c>
      <c r="O21" s="23">
        <v>1968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compare media CN ratio</vt:lpstr>
      <vt:lpstr>compare PreAcclimation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Snorre Sulheim</cp:lastModifiedBy>
  <dcterms:created xsi:type="dcterms:W3CDTF">2022-08-11T07:10:26Z</dcterms:created>
  <dcterms:modified xsi:type="dcterms:W3CDTF">2026-04-20T07:59:42Z</dcterms:modified>
</cp:coreProperties>
</file>